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DA ISMAEL\Desktop\PROJET_1_ VBA_EXCEL\"/>
    </mc:Choice>
  </mc:AlternateContent>
  <bookViews>
    <workbookView minimized="1" xWindow="0" yWindow="0" windowWidth="20490" windowHeight="7155" activeTab="5"/>
  </bookViews>
  <sheets>
    <sheet name="A" sheetId="1" r:id="rId1"/>
    <sheet name="B" sheetId="2" r:id="rId2"/>
    <sheet name="C" sheetId="3" r:id="rId3"/>
    <sheet name="D" sheetId="4" r:id="rId4"/>
    <sheet name="E" sheetId="5" r:id="rId5"/>
    <sheet name="HeatMap" sheetId="6" r:id="rId6"/>
    <sheet name="Scores et statuts " sheetId="8" r:id="rId7"/>
    <sheet name="Diagramme" sheetId="10" r:id="rId8"/>
    <sheet name="Orientations" sheetId="11" r:id="rId9"/>
  </sheets>
  <functionGroups builtInGroupCount="18"/>
  <definedNames>
    <definedName name="_xlnm._FilterDatabase" localSheetId="5" hidden="1">HeatMap!$A$2:$E$21</definedName>
    <definedName name="_xlnm._FilterDatabase" localSheetId="6" hidden="1">'Scores et statuts '!$A$2:$E$22</definedName>
    <definedName name="_xlnm.Criteria" localSheetId="5">HeatMap!$H$2:$L$19</definedName>
    <definedName name="solver_adj" localSheetId="0" hidden="1">A!$A$2:$G$2</definedName>
    <definedName name="solver_adj" localSheetId="8" hidden="1">Orientations!$C$52:$I$52</definedName>
    <definedName name="solver_cvg" localSheetId="8" hidden="1">0.0001</definedName>
    <definedName name="solver_drv" localSheetId="8" hidden="1">2</definedName>
    <definedName name="solver_eng" localSheetId="0" hidden="1">1</definedName>
    <definedName name="solver_eng" localSheetId="8" hidden="1">1</definedName>
    <definedName name="solver_est" localSheetId="8" hidden="1">1</definedName>
    <definedName name="solver_itr" localSheetId="8" hidden="1">2147483647</definedName>
    <definedName name="solver_lhs1" localSheetId="8" hidden="1">Orientations!$N$16</definedName>
    <definedName name="solver_lhs2" localSheetId="8" hidden="1">Orientations!$N$16</definedName>
    <definedName name="solver_mip" localSheetId="8" hidden="1">2147483647</definedName>
    <definedName name="solver_mni" localSheetId="8" hidden="1">30</definedName>
    <definedName name="solver_mrt" localSheetId="8" hidden="1">0.075</definedName>
    <definedName name="solver_msl" localSheetId="8" hidden="1">2</definedName>
    <definedName name="solver_neg" localSheetId="0" hidden="1">1</definedName>
    <definedName name="solver_neg" localSheetId="8" hidden="1">2</definedName>
    <definedName name="solver_nod" localSheetId="8" hidden="1">2147483647</definedName>
    <definedName name="solver_num" localSheetId="0" hidden="1">0</definedName>
    <definedName name="solver_num" localSheetId="8" hidden="1">0</definedName>
    <definedName name="solver_nwt" localSheetId="8" hidden="1">1</definedName>
    <definedName name="solver_opt" localSheetId="0" hidden="1">A!$A$2</definedName>
    <definedName name="solver_opt" localSheetId="8" hidden="1">Orientations!$J$52</definedName>
    <definedName name="solver_pre" localSheetId="8" hidden="1">0.000001</definedName>
    <definedName name="solver_rbv" localSheetId="8" hidden="1">2</definedName>
    <definedName name="solver_rel1" localSheetId="8" hidden="1">3</definedName>
    <definedName name="solver_rel2" localSheetId="8" hidden="1">3</definedName>
    <definedName name="solver_rhs1" localSheetId="8" hidden="1">2.99</definedName>
    <definedName name="solver_rhs2" localSheetId="8" hidden="1">2.99</definedName>
    <definedName name="solver_rlx" localSheetId="8" hidden="1">2</definedName>
    <definedName name="solver_rsd" localSheetId="8" hidden="1">0</definedName>
    <definedName name="solver_scl" localSheetId="8" hidden="1">2</definedName>
    <definedName name="solver_sho" localSheetId="8" hidden="1">2</definedName>
    <definedName name="solver_ssz" localSheetId="8" hidden="1">100</definedName>
    <definedName name="solver_tim" localSheetId="8" hidden="1">2147483647</definedName>
    <definedName name="solver_tol" localSheetId="8" hidden="1">0.01</definedName>
    <definedName name="solver_typ" localSheetId="0" hidden="1">1</definedName>
    <definedName name="solver_typ" localSheetId="8" hidden="1">3</definedName>
    <definedName name="solver_val" localSheetId="0" hidden="1">0</definedName>
    <definedName name="solver_val" localSheetId="8" hidden="1">2.99</definedName>
    <definedName name="solver_ver" localSheetId="0" hidden="1">3</definedName>
    <definedName name="solver_ver" localSheetId="8" hidden="1">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0" i="11" l="1"/>
  <c r="J44" i="11"/>
  <c r="J48" i="11"/>
  <c r="J52" i="11"/>
  <c r="J49" i="11"/>
  <c r="J46" i="11"/>
  <c r="J47" i="11"/>
  <c r="J45" i="11"/>
  <c r="J51" i="11"/>
  <c r="J43" i="11"/>
  <c r="J35" i="11"/>
  <c r="J39" i="11"/>
  <c r="J36" i="11"/>
  <c r="J38" i="11"/>
  <c r="J37" i="11"/>
  <c r="J34" i="11"/>
  <c r="J25" i="11"/>
  <c r="J29" i="11"/>
  <c r="J26" i="11"/>
  <c r="J27" i="11"/>
  <c r="J28" i="11"/>
  <c r="J30" i="11"/>
  <c r="J24" i="11"/>
  <c r="J15" i="11"/>
  <c r="J16" i="11"/>
  <c r="J17" i="11"/>
  <c r="J18" i="11"/>
  <c r="J19" i="11"/>
  <c r="J20" i="11"/>
  <c r="J14" i="11"/>
  <c r="J5" i="11"/>
  <c r="J9" i="11"/>
  <c r="J6" i="11"/>
  <c r="J10" i="11"/>
  <c r="J7" i="11"/>
  <c r="J8" i="11"/>
  <c r="J4" i="11"/>
  <c r="Q3" i="8"/>
  <c r="P3" i="8"/>
  <c r="O3" i="8"/>
  <c r="N3" i="8"/>
  <c r="M3" i="8"/>
  <c r="J4" i="8"/>
  <c r="Q8" i="8"/>
  <c r="Q16" i="8"/>
  <c r="Q5" i="8"/>
  <c r="Q13" i="8"/>
  <c r="Q21" i="8"/>
  <c r="P10" i="8"/>
  <c r="P18" i="8"/>
  <c r="P7" i="8"/>
  <c r="P15" i="8"/>
  <c r="O10" i="8"/>
  <c r="O18" i="8"/>
  <c r="O7" i="8"/>
  <c r="O15" i="8"/>
  <c r="N10" i="8"/>
  <c r="N18" i="8"/>
  <c r="N7" i="8"/>
  <c r="N15" i="8"/>
  <c r="M10" i="8"/>
  <c r="M18" i="8"/>
  <c r="M7" i="8"/>
  <c r="M15" i="8"/>
  <c r="K22" i="8"/>
  <c r="J10" i="8"/>
  <c r="G4" i="8"/>
  <c r="C18" i="6"/>
  <c r="D4" i="6"/>
  <c r="C13" i="6"/>
  <c r="J14" i="8"/>
  <c r="E10" i="6"/>
  <c r="K8" i="8"/>
  <c r="J18" i="8"/>
  <c r="G21" i="8"/>
  <c r="B2" i="6"/>
  <c r="E17" i="6"/>
  <c r="K5" i="8"/>
  <c r="I22" i="8"/>
  <c r="G9" i="8"/>
  <c r="E11" i="6"/>
  <c r="E16" i="6"/>
  <c r="J21" i="8"/>
  <c r="B7" i="6"/>
  <c r="B18" i="6"/>
  <c r="K9" i="8"/>
  <c r="H16" i="8"/>
  <c r="G6" i="8"/>
  <c r="C15" i="6"/>
  <c r="B17" i="6"/>
  <c r="D14" i="6"/>
  <c r="H9" i="8"/>
  <c r="D2" i="6"/>
  <c r="K14" i="8"/>
  <c r="H11" i="8"/>
  <c r="D19" i="6"/>
  <c r="D13" i="6"/>
  <c r="H17" i="8"/>
  <c r="E5" i="6"/>
  <c r="H6" i="8"/>
  <c r="B21" i="6"/>
  <c r="K21" i="8"/>
  <c r="G15" i="8"/>
  <c r="D5" i="6"/>
  <c r="B8" i="6"/>
  <c r="I16" i="8"/>
  <c r="I14" i="8"/>
  <c r="I4" i="8"/>
  <c r="I5" i="8"/>
  <c r="A6" i="6"/>
  <c r="A5" i="6"/>
  <c r="A7" i="6"/>
  <c r="A20" i="6"/>
  <c r="G16" i="8"/>
  <c r="B20" i="6"/>
  <c r="J13" i="8"/>
  <c r="D9" i="6"/>
  <c r="C11" i="6"/>
  <c r="I9" i="8"/>
  <c r="A15" i="6"/>
  <c r="A17" i="6"/>
  <c r="A3" i="6"/>
  <c r="Q9" i="8"/>
  <c r="M19" i="8"/>
  <c r="H5" i="8"/>
  <c r="K20" i="8"/>
  <c r="H3" i="8"/>
  <c r="H10" i="8"/>
  <c r="E6" i="6"/>
  <c r="J20" i="8"/>
  <c r="B4" i="6"/>
  <c r="D6" i="6"/>
  <c r="D7" i="6"/>
  <c r="G10" i="8"/>
  <c r="B16" i="6"/>
  <c r="C19" i="6"/>
  <c r="E12" i="6"/>
  <c r="I18" i="8"/>
  <c r="A12" i="6"/>
  <c r="Q6" i="8"/>
  <c r="N8" i="8"/>
  <c r="M8" i="8"/>
  <c r="M13" i="8"/>
  <c r="J15" i="8"/>
  <c r="C7" i="6"/>
  <c r="E3" i="6"/>
  <c r="E14" i="6"/>
  <c r="D18" i="6"/>
  <c r="K10" i="8"/>
  <c r="C21" i="6"/>
  <c r="I21" i="8"/>
  <c r="G14" i="8"/>
  <c r="E15" i="6"/>
  <c r="H15" i="8"/>
  <c r="E4" i="6"/>
  <c r="Q10" i="8"/>
  <c r="Q18" i="8"/>
  <c r="Q7" i="8"/>
  <c r="Q15" i="8"/>
  <c r="P4" i="8"/>
  <c r="P12" i="8"/>
  <c r="P20" i="8"/>
  <c r="P9" i="8"/>
  <c r="P17" i="8"/>
  <c r="O4" i="8"/>
  <c r="O12" i="8"/>
  <c r="O20" i="8"/>
  <c r="O9" i="8"/>
  <c r="O17" i="8"/>
  <c r="N4" i="8"/>
  <c r="N12" i="8"/>
  <c r="N20" i="8"/>
  <c r="N9" i="8"/>
  <c r="N17" i="8"/>
  <c r="M4" i="8"/>
  <c r="M12" i="8"/>
  <c r="M20" i="8"/>
  <c r="M9" i="8"/>
  <c r="M17" i="8"/>
  <c r="A2" i="6"/>
  <c r="I11" i="8"/>
  <c r="K16" i="8"/>
  <c r="I19" i="8"/>
  <c r="G13" i="8"/>
  <c r="C20" i="6"/>
  <c r="B6" i="6"/>
  <c r="C5" i="6"/>
  <c r="H4" i="8"/>
  <c r="E13" i="6"/>
  <c r="K17" i="8"/>
  <c r="H8" i="8"/>
  <c r="G19" i="8"/>
  <c r="C16" i="6"/>
  <c r="B5" i="6"/>
  <c r="K18" i="8"/>
  <c r="H19" i="8"/>
  <c r="G18" i="8"/>
  <c r="B3" i="6"/>
  <c r="D10" i="6"/>
  <c r="H20" i="8"/>
  <c r="D16" i="6"/>
  <c r="B10" i="6"/>
  <c r="J8" i="8"/>
  <c r="H21" i="8"/>
  <c r="G8" i="1"/>
  <c r="A8" i="6" s="1"/>
  <c r="C4" i="6"/>
  <c r="C8" i="6"/>
  <c r="K13" i="8"/>
  <c r="G11" i="8"/>
  <c r="C12" i="6"/>
  <c r="J16" i="8"/>
  <c r="H7" i="8"/>
  <c r="D11" i="6"/>
  <c r="E20" i="6"/>
  <c r="B15" i="6"/>
  <c r="C9" i="6"/>
  <c r="K4" i="8"/>
  <c r="I7" i="8"/>
  <c r="I12" i="8"/>
  <c r="A16" i="6"/>
  <c r="A18" i="6"/>
  <c r="Q12" i="8"/>
  <c r="P11" i="8"/>
  <c r="O14" i="8"/>
  <c r="O11" i="8"/>
  <c r="N6" i="8"/>
  <c r="N22" i="8"/>
  <c r="N19" i="8"/>
  <c r="M14" i="8"/>
  <c r="M11" i="8"/>
  <c r="K15" i="8"/>
  <c r="G22" i="8"/>
  <c r="C10" i="6"/>
  <c r="E21" i="6"/>
  <c r="B9" i="6"/>
  <c r="D15" i="6"/>
  <c r="H22" i="8"/>
  <c r="J17" i="8"/>
  <c r="B12" i="6"/>
  <c r="J5" i="8"/>
  <c r="E19" i="6"/>
  <c r="K12" i="8"/>
  <c r="D20" i="6"/>
  <c r="H12" i="8"/>
  <c r="J19" i="8"/>
  <c r="I8" i="8"/>
  <c r="I17" i="8"/>
  <c r="A9" i="6"/>
  <c r="A10" i="6"/>
  <c r="Q14" i="8"/>
  <c r="Q11" i="8"/>
  <c r="P16" i="8"/>
  <c r="P13" i="8"/>
  <c r="O8" i="8"/>
  <c r="O5" i="8"/>
  <c r="O21" i="8"/>
  <c r="N16" i="8"/>
  <c r="N13" i="8"/>
  <c r="M16" i="8"/>
  <c r="M21" i="8"/>
  <c r="H18" i="8"/>
  <c r="D12" i="6"/>
  <c r="K7" i="8"/>
  <c r="I3" i="8"/>
  <c r="E8" i="6"/>
  <c r="J6" i="8"/>
  <c r="B13" i="6"/>
  <c r="J7" i="8"/>
  <c r="G20" i="8"/>
  <c r="E2" i="6"/>
  <c r="E7" i="6"/>
  <c r="J22" i="8"/>
  <c r="J12" i="8"/>
  <c r="D17" i="6"/>
  <c r="G8" i="8"/>
  <c r="I6" i="8"/>
  <c r="I13" i="8"/>
  <c r="A14" i="6"/>
  <c r="A4" i="6"/>
  <c r="Q4" i="8"/>
  <c r="Q20" i="8"/>
  <c r="Q17" i="8"/>
  <c r="P6" i="8"/>
  <c r="P14" i="8"/>
  <c r="P22" i="8"/>
  <c r="P19" i="8"/>
  <c r="O6" i="8"/>
  <c r="O22" i="8"/>
  <c r="O19" i="8"/>
  <c r="N14" i="8"/>
  <c r="N11" i="8"/>
  <c r="M6" i="8"/>
  <c r="M22" i="8"/>
  <c r="G3" i="8"/>
  <c r="B14" i="6"/>
  <c r="K19" i="8"/>
  <c r="C14" i="6"/>
  <c r="H14" i="8"/>
  <c r="B11" i="6"/>
  <c r="G5" i="8"/>
  <c r="K3" i="8"/>
  <c r="D8" i="6"/>
  <c r="J11" i="8"/>
  <c r="G12" i="8"/>
  <c r="C3" i="6"/>
  <c r="E18" i="6"/>
  <c r="C6" i="6"/>
  <c r="A19" i="6"/>
  <c r="A11" i="6"/>
  <c r="Q22" i="8"/>
  <c r="Q19" i="8"/>
  <c r="P8" i="8"/>
  <c r="P5" i="8"/>
  <c r="P21" i="8"/>
  <c r="O16" i="8"/>
  <c r="O13" i="8"/>
  <c r="N5" i="8"/>
  <c r="N21" i="8"/>
  <c r="M5" i="8"/>
  <c r="H13" i="8"/>
  <c r="C17" i="6"/>
  <c r="G17" i="8"/>
  <c r="J9" i="8"/>
  <c r="D3" i="6"/>
  <c r="J3" i="8"/>
  <c r="K6" i="8"/>
  <c r="G7" i="8"/>
  <c r="E9" i="6"/>
  <c r="D21" i="6"/>
  <c r="K11" i="8"/>
  <c r="I20" i="8"/>
  <c r="C2" i="6"/>
  <c r="B19" i="6"/>
  <c r="I10" i="8"/>
  <c r="I15" i="8"/>
  <c r="A21" i="6"/>
  <c r="A13" i="6"/>
  <c r="A2" i="10" l="1"/>
  <c r="B2" i="10"/>
  <c r="C2" i="10"/>
</calcChain>
</file>

<file path=xl/sharedStrings.xml><?xml version="1.0" encoding="utf-8"?>
<sst xmlns="http://schemas.openxmlformats.org/spreadsheetml/2006/main" count="114" uniqueCount="28">
  <si>
    <t>CC</t>
  </si>
  <si>
    <t>PR</t>
  </si>
  <si>
    <t>TA</t>
  </si>
  <si>
    <t>PFI</t>
  </si>
  <si>
    <t>CB</t>
  </si>
  <si>
    <t>VCP</t>
  </si>
  <si>
    <t>V</t>
  </si>
  <si>
    <t>Zone A</t>
  </si>
  <si>
    <t>Zone B</t>
  </si>
  <si>
    <t>Zone C</t>
  </si>
  <si>
    <t>Zone D</t>
  </si>
  <si>
    <t>Zone F</t>
  </si>
  <si>
    <t xml:space="preserve"> Zone A</t>
  </si>
  <si>
    <t xml:space="preserve"> Zone B</t>
  </si>
  <si>
    <t xml:space="preserve"> Zone C</t>
  </si>
  <si>
    <t xml:space="preserve"> Zone D</t>
  </si>
  <si>
    <t xml:space="preserve"> Zone E</t>
  </si>
  <si>
    <t>Zone E</t>
  </si>
  <si>
    <t>Acceptés</t>
  </si>
  <si>
    <t xml:space="preserve"> Rejetés</t>
  </si>
  <si>
    <t>Incertitudes</t>
  </si>
  <si>
    <t>Ensemble des Entreprises Acceptées, en incertitude et rejetées</t>
  </si>
  <si>
    <t>Ensemble des entreprises et leur score en fonction des zones</t>
  </si>
  <si>
    <t>Ensemble des entreprises seulement défaillantes ou en incertitudes</t>
  </si>
  <si>
    <t>Numero entreprises</t>
  </si>
  <si>
    <t>Numero entreprise</t>
  </si>
  <si>
    <t>Scores</t>
  </si>
  <si>
    <t>LES VALEURS PREDITES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</si>
</sst>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Font="1"/>
    <xf numFmtId="0" fontId="0" fillId="0" borderId="0" xfId="0" applyAlignment="1"/>
    <xf numFmtId="0" fontId="1" fillId="0" borderId="0" xfId="0" applyFont="1" applyAlignment="1"/>
    <xf numFmtId="0" fontId="2" fillId="0" borderId="0" xfId="0" applyFont="1"/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75"/>
      <c:rotY val="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>
          <a:softEdge rad="0"/>
        </a:effectLst>
        <a:sp3d/>
      </c:spPr>
    </c:sideWall>
    <c:backWall>
      <c:thickness val="0"/>
      <c:spPr>
        <a:noFill/>
        <a:ln>
          <a:noFill/>
        </a:ln>
        <a:effectLst>
          <a:softEdge rad="0"/>
        </a:effectLst>
        <a:sp3d/>
      </c:spPr>
    </c:backWall>
    <c:plotArea>
      <c:layout>
        <c:manualLayout>
          <c:layoutTarget val="inner"/>
          <c:xMode val="edge"/>
          <c:yMode val="edge"/>
          <c:x val="0.20521307351748122"/>
          <c:y val="8.1148339216218668E-2"/>
          <c:w val="0.51793208886044795"/>
          <c:h val="0.67012053588088216"/>
        </c:manualLayout>
      </c:layout>
      <c:pie3DChart>
        <c:varyColors val="1"/>
        <c:ser>
          <c:idx val="0"/>
          <c:order val="0"/>
          <c:spPr>
            <a:effectLst/>
            <a:scene3d>
              <a:camera prst="orthographicFront"/>
              <a:lightRig rig="threePt" dir="t"/>
            </a:scene3d>
            <a:sp3d>
              <a:bevelB w="0" h="0"/>
            </a:sp3d>
          </c:spPr>
          <c:explosion val="15"/>
          <c:dPt>
            <c:idx val="0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B w="0" h="0"/>
              </a:sp3d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B w="0" h="0"/>
              </a:sp3d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B w="0" h="0"/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Diagramme!$A$1:$C$1</c:f>
              <c:strCache>
                <c:ptCount val="3"/>
                <c:pt idx="0">
                  <c:v>Acceptés</c:v>
                </c:pt>
                <c:pt idx="1">
                  <c:v> Rejetés</c:v>
                </c:pt>
                <c:pt idx="2">
                  <c:v>Incertitudes</c:v>
                </c:pt>
              </c:strCache>
            </c:strRef>
          </c:cat>
          <c:val>
            <c:numRef>
              <c:f>Diagramme!$A$2:$C$2</c:f>
              <c:numCache>
                <c:formatCode>General</c:formatCode>
                <c:ptCount val="3"/>
                <c:pt idx="0">
                  <c:v>36</c:v>
                </c:pt>
                <c:pt idx="1">
                  <c:v>27</c:v>
                </c:pt>
                <c:pt idx="2">
                  <c:v>37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78473026136012969"/>
          <c:y val="0.33544266449452437"/>
          <c:w val="0.12830019841214685"/>
          <c:h val="0.1094010898556643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  <a:scene3d>
      <a:camera prst="orthographicFront"/>
      <a:lightRig rig="threePt" dir="t"/>
    </a:scene3d>
    <a:sp3d>
      <a:bevelT w="234950"/>
      <a:bevelB w="0" h="0"/>
    </a:sp3d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723900</xdr:colOff>
      <xdr:row>0</xdr:row>
      <xdr:rowOff>0</xdr:rowOff>
    </xdr:from>
    <xdr:to>
      <xdr:col>12</xdr:col>
      <xdr:colOff>742949</xdr:colOff>
      <xdr:row>29</xdr:row>
      <xdr:rowOff>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Personnalisé 4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FF0000"/>
      </a:accent1>
      <a:accent2>
        <a:srgbClr val="00B050"/>
      </a:accent2>
      <a:accent3>
        <a:srgbClr val="FFFF00"/>
      </a:accent3>
      <a:accent4>
        <a:srgbClr val="FF0000"/>
      </a:accent4>
      <a:accent5>
        <a:srgbClr val="4472C4"/>
      </a:accent5>
      <a:accent6>
        <a:srgbClr val="FFFF00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N21"/>
  <sheetViews>
    <sheetView workbookViewId="0">
      <selection activeCell="E27" sqref="E27"/>
    </sheetView>
  </sheetViews>
  <sheetFormatPr baseColWidth="10" defaultRowHeight="15" x14ac:dyDescent="0.25"/>
  <cols>
    <col min="1" max="7" width="11.42578125" style="1"/>
  </cols>
  <sheetData>
    <row r="1" spans="1:14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I1" s="1"/>
      <c r="J1" s="1"/>
      <c r="K1" s="1"/>
      <c r="L1" s="1"/>
      <c r="M1" s="1"/>
      <c r="N1" s="1"/>
    </row>
    <row r="2" spans="1:14" x14ac:dyDescent="0.25">
      <c r="A2" s="1">
        <v>-12669592</v>
      </c>
      <c r="B2" s="1">
        <v>10220287</v>
      </c>
      <c r="C2" s="1">
        <v>11602297</v>
      </c>
      <c r="D2" s="1">
        <v>10120287</v>
      </c>
      <c r="E2" s="1">
        <v>356403</v>
      </c>
      <c r="F2" s="1">
        <v>24271889</v>
      </c>
      <c r="G2" s="1">
        <v>10632838</v>
      </c>
    </row>
    <row r="3" spans="1:14" x14ac:dyDescent="0.25">
      <c r="A3" s="1">
        <v>25099</v>
      </c>
      <c r="B3" s="1">
        <v>4788760</v>
      </c>
      <c r="C3" s="1">
        <v>13566555</v>
      </c>
      <c r="D3" s="1">
        <v>4688760</v>
      </c>
      <c r="E3" s="1">
        <v>304782</v>
      </c>
      <c r="F3" s="1">
        <v>13541456</v>
      </c>
      <c r="G3" s="1">
        <v>5057196</v>
      </c>
    </row>
    <row r="4" spans="1:14" x14ac:dyDescent="0.25">
      <c r="A4" s="1">
        <v>5697159</v>
      </c>
      <c r="B4" s="1">
        <v>3196660</v>
      </c>
      <c r="C4" s="1">
        <v>24032434</v>
      </c>
      <c r="D4" s="1">
        <v>3096660</v>
      </c>
      <c r="E4" s="1">
        <v>123104</v>
      </c>
      <c r="F4" s="1">
        <v>18335275</v>
      </c>
      <c r="G4" s="1">
        <v>3669992</v>
      </c>
    </row>
    <row r="5" spans="1:14" x14ac:dyDescent="0.25">
      <c r="A5" s="1">
        <v>115702</v>
      </c>
      <c r="B5" s="1">
        <v>13625272</v>
      </c>
      <c r="C5" s="1">
        <v>14446232</v>
      </c>
      <c r="D5" s="1">
        <v>13525272</v>
      </c>
      <c r="E5" s="1">
        <v>476972</v>
      </c>
      <c r="F5" s="1">
        <v>14330530</v>
      </c>
      <c r="G5" s="1">
        <v>14166333</v>
      </c>
    </row>
    <row r="6" spans="1:14" x14ac:dyDescent="0.25">
      <c r="A6" s="1">
        <v>3816720</v>
      </c>
      <c r="B6" s="1">
        <v>9331367</v>
      </c>
      <c r="C6" s="1">
        <v>16832148</v>
      </c>
      <c r="D6" s="1">
        <v>9231367</v>
      </c>
      <c r="E6" s="1">
        <v>309696</v>
      </c>
      <c r="F6" s="1">
        <v>13015428</v>
      </c>
      <c r="G6" s="1">
        <v>10023146</v>
      </c>
    </row>
    <row r="7" spans="1:14" x14ac:dyDescent="0.25">
      <c r="A7" s="1">
        <v>14124528</v>
      </c>
      <c r="B7" s="1">
        <v>7460138</v>
      </c>
      <c r="C7" s="1">
        <v>24258979</v>
      </c>
      <c r="D7" s="1">
        <v>7360138</v>
      </c>
      <c r="E7" s="1">
        <v>458504</v>
      </c>
      <c r="F7" s="1">
        <v>10134451</v>
      </c>
      <c r="G7" s="1">
        <v>8241103</v>
      </c>
    </row>
    <row r="8" spans="1:14" x14ac:dyDescent="0.25">
      <c r="A8" s="1">
        <v>1559563</v>
      </c>
      <c r="B8" s="1">
        <v>8221100</v>
      </c>
      <c r="C8" s="1">
        <v>19201074</v>
      </c>
      <c r="D8" s="1">
        <v>8121100</v>
      </c>
      <c r="E8" s="1">
        <v>410821</v>
      </c>
      <c r="F8" s="1">
        <v>17641511</v>
      </c>
      <c r="G8" s="1">
        <f>score(A!A2,A!B2,A!C2,A!D2,A!E2,A!F2,A!G2)</f>
        <v>3.7256642361207688</v>
      </c>
    </row>
    <row r="9" spans="1:14" ht="16.5" customHeight="1" x14ac:dyDescent="0.25">
      <c r="A9" s="1">
        <v>7220041</v>
      </c>
      <c r="B9" s="1">
        <v>3141192</v>
      </c>
      <c r="C9" s="1">
        <v>19726999</v>
      </c>
      <c r="D9" s="1">
        <v>3041192</v>
      </c>
      <c r="E9" s="1">
        <v>113888</v>
      </c>
      <c r="F9" s="1">
        <v>12506958</v>
      </c>
      <c r="G9" s="1">
        <v>3469461</v>
      </c>
    </row>
    <row r="10" spans="1:14" x14ac:dyDescent="0.25">
      <c r="A10" s="1">
        <v>-7705792</v>
      </c>
      <c r="B10" s="1">
        <v>6297910</v>
      </c>
      <c r="C10" s="1">
        <v>13749043</v>
      </c>
      <c r="D10" s="1">
        <v>6197910</v>
      </c>
      <c r="E10" s="1">
        <v>223844</v>
      </c>
      <c r="F10" s="1">
        <v>21454835</v>
      </c>
      <c r="G10" s="1">
        <v>7004684</v>
      </c>
    </row>
    <row r="11" spans="1:14" x14ac:dyDescent="0.25">
      <c r="A11" s="1">
        <v>-5770669</v>
      </c>
      <c r="B11" s="1">
        <v>10843396</v>
      </c>
      <c r="C11" s="1">
        <v>13446647</v>
      </c>
      <c r="D11" s="1">
        <v>10743396</v>
      </c>
      <c r="E11" s="1">
        <v>293434</v>
      </c>
      <c r="F11" s="1">
        <v>19217316</v>
      </c>
      <c r="G11" s="1">
        <v>11620394</v>
      </c>
    </row>
    <row r="12" spans="1:14" x14ac:dyDescent="0.25">
      <c r="A12" s="1">
        <v>162202</v>
      </c>
      <c r="B12" s="1">
        <v>2707649</v>
      </c>
      <c r="C12" s="1">
        <v>23575056</v>
      </c>
      <c r="D12" s="1">
        <v>2607649</v>
      </c>
      <c r="E12" s="1">
        <v>245758</v>
      </c>
      <c r="F12" s="1">
        <v>23412854</v>
      </c>
      <c r="G12" s="1">
        <v>3471145</v>
      </c>
    </row>
    <row r="13" spans="1:14" x14ac:dyDescent="0.25">
      <c r="A13" s="1">
        <v>10279145</v>
      </c>
      <c r="B13" s="1">
        <v>4100015</v>
      </c>
      <c r="C13" s="1">
        <v>20671895</v>
      </c>
      <c r="D13" s="1">
        <v>4000015</v>
      </c>
      <c r="E13" s="1">
        <v>340240</v>
      </c>
      <c r="F13" s="1">
        <v>10392750</v>
      </c>
      <c r="G13" s="1">
        <v>4899009</v>
      </c>
    </row>
    <row r="14" spans="1:14" x14ac:dyDescent="0.25">
      <c r="A14" s="1">
        <v>-816657</v>
      </c>
      <c r="B14" s="1">
        <v>3314632</v>
      </c>
      <c r="C14" s="1">
        <v>15620529</v>
      </c>
      <c r="D14" s="1">
        <v>3214632</v>
      </c>
      <c r="E14" s="1">
        <v>223387</v>
      </c>
      <c r="F14" s="1">
        <v>16437186</v>
      </c>
      <c r="G14" s="1">
        <v>4061840</v>
      </c>
    </row>
    <row r="15" spans="1:14" x14ac:dyDescent="0.25">
      <c r="A15" s="1">
        <v>-4693175</v>
      </c>
      <c r="B15" s="1">
        <v>2622315</v>
      </c>
      <c r="C15" s="1">
        <v>14177487</v>
      </c>
      <c r="D15" s="1">
        <v>2522315</v>
      </c>
      <c r="E15" s="1">
        <v>407920</v>
      </c>
      <c r="F15" s="1">
        <v>18870662</v>
      </c>
      <c r="G15" s="1">
        <v>2986883</v>
      </c>
    </row>
    <row r="16" spans="1:14" x14ac:dyDescent="0.25">
      <c r="A16" s="1">
        <v>11803165</v>
      </c>
      <c r="B16" s="1">
        <v>9120635</v>
      </c>
      <c r="C16" s="1">
        <v>24192612</v>
      </c>
      <c r="D16" s="1">
        <v>9020635</v>
      </c>
      <c r="E16" s="1">
        <v>189359</v>
      </c>
      <c r="F16" s="1">
        <v>12389447</v>
      </c>
      <c r="G16" s="1">
        <v>9397810</v>
      </c>
    </row>
    <row r="17" spans="1:7" x14ac:dyDescent="0.25">
      <c r="A17" s="1">
        <v>5183016</v>
      </c>
      <c r="B17" s="1">
        <v>8787655</v>
      </c>
      <c r="C17" s="1">
        <v>19195036</v>
      </c>
      <c r="D17" s="1">
        <v>8687655</v>
      </c>
      <c r="E17" s="1">
        <v>123284</v>
      </c>
      <c r="F17" s="1">
        <v>14012020</v>
      </c>
      <c r="G17" s="1">
        <v>9587930</v>
      </c>
    </row>
    <row r="18" spans="1:7" x14ac:dyDescent="0.25">
      <c r="A18" s="1">
        <v>2841324</v>
      </c>
      <c r="B18" s="1">
        <v>10208886</v>
      </c>
      <c r="C18" s="1">
        <v>17581204</v>
      </c>
      <c r="D18" s="1">
        <v>10108886</v>
      </c>
      <c r="E18" s="1">
        <v>100485</v>
      </c>
      <c r="F18" s="1">
        <v>14739880</v>
      </c>
      <c r="G18" s="1">
        <v>10915048</v>
      </c>
    </row>
    <row r="19" spans="1:7" x14ac:dyDescent="0.25">
      <c r="A19" s="1">
        <v>2034404</v>
      </c>
      <c r="B19" s="1">
        <v>6354879</v>
      </c>
      <c r="C19" s="1">
        <v>20751230</v>
      </c>
      <c r="D19" s="1">
        <v>6254879</v>
      </c>
      <c r="E19" s="1">
        <v>326177</v>
      </c>
      <c r="F19" s="1">
        <v>18716826</v>
      </c>
      <c r="G19" s="1">
        <v>7279835</v>
      </c>
    </row>
    <row r="20" spans="1:7" x14ac:dyDescent="0.25">
      <c r="A20" s="1">
        <v>-1275318</v>
      </c>
      <c r="B20" s="1">
        <v>9373731</v>
      </c>
      <c r="C20" s="1">
        <v>16635128</v>
      </c>
      <c r="D20" s="1">
        <v>9273731</v>
      </c>
      <c r="E20" s="1">
        <v>231357</v>
      </c>
      <c r="F20" s="1">
        <v>17910446</v>
      </c>
      <c r="G20" s="1">
        <v>10109637</v>
      </c>
    </row>
    <row r="21" spans="1:7" x14ac:dyDescent="0.25">
      <c r="A21" s="1">
        <v>-5685903</v>
      </c>
      <c r="B21" s="1">
        <v>2132209</v>
      </c>
      <c r="C21" s="1">
        <v>12453407</v>
      </c>
      <c r="D21" s="1">
        <v>2032209</v>
      </c>
      <c r="E21" s="1">
        <v>308071</v>
      </c>
      <c r="F21" s="1">
        <v>18139310</v>
      </c>
      <c r="G21" s="1">
        <v>2642118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G21"/>
  <sheetViews>
    <sheetView workbookViewId="0">
      <selection activeCell="D23" sqref="D23"/>
    </sheetView>
  </sheetViews>
  <sheetFormatPr baseColWidth="10" defaultRowHeight="15" x14ac:dyDescent="0.25"/>
  <sheetData>
    <row r="1" spans="1: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25">
      <c r="A2" s="1">
        <v>10239761</v>
      </c>
      <c r="B2" s="1">
        <v>7216077</v>
      </c>
      <c r="C2" s="1">
        <v>22323551</v>
      </c>
      <c r="D2" s="1">
        <v>7116077</v>
      </c>
      <c r="E2" s="1">
        <v>181379</v>
      </c>
      <c r="F2" s="1">
        <v>12083790</v>
      </c>
      <c r="G2" s="1">
        <v>7815880</v>
      </c>
    </row>
    <row r="3" spans="1:7" x14ac:dyDescent="0.25">
      <c r="A3" s="1">
        <v>-5188964</v>
      </c>
      <c r="B3" s="1">
        <v>6301456</v>
      </c>
      <c r="C3" s="1">
        <v>10585803</v>
      </c>
      <c r="D3" s="1">
        <v>6201456</v>
      </c>
      <c r="E3" s="1">
        <v>481592</v>
      </c>
      <c r="F3" s="1">
        <v>15774767</v>
      </c>
      <c r="G3" s="1">
        <v>6609908</v>
      </c>
    </row>
    <row r="4" spans="1:7" x14ac:dyDescent="0.25">
      <c r="A4" s="1">
        <v>7110072</v>
      </c>
      <c r="B4" s="1">
        <v>11769506</v>
      </c>
      <c r="C4" s="1">
        <v>21392423</v>
      </c>
      <c r="D4" s="1">
        <v>11669506</v>
      </c>
      <c r="E4" s="1">
        <v>432266</v>
      </c>
      <c r="F4" s="1">
        <v>14282351</v>
      </c>
      <c r="G4" s="1">
        <v>12373901</v>
      </c>
    </row>
    <row r="5" spans="1:7" x14ac:dyDescent="0.25">
      <c r="A5" s="1">
        <v>-4705002</v>
      </c>
      <c r="B5" s="1">
        <v>49854</v>
      </c>
      <c r="C5" s="1">
        <v>12760474</v>
      </c>
      <c r="D5" s="1">
        <v>-50146</v>
      </c>
      <c r="E5" s="1">
        <v>264554</v>
      </c>
      <c r="F5" s="1">
        <v>17465476</v>
      </c>
      <c r="G5" s="1">
        <v>1009722</v>
      </c>
    </row>
    <row r="6" spans="1:7" x14ac:dyDescent="0.25">
      <c r="A6" s="1">
        <v>-8007787</v>
      </c>
      <c r="B6" s="1">
        <v>2257975</v>
      </c>
      <c r="C6" s="1">
        <v>13637467</v>
      </c>
      <c r="D6" s="1">
        <v>2157975</v>
      </c>
      <c r="E6" s="1">
        <v>225825</v>
      </c>
      <c r="F6" s="1">
        <v>21645254</v>
      </c>
      <c r="G6" s="1">
        <v>3042758</v>
      </c>
    </row>
    <row r="7" spans="1:7" x14ac:dyDescent="0.25">
      <c r="A7" s="1">
        <v>8443487</v>
      </c>
      <c r="B7" s="1">
        <v>7677471</v>
      </c>
      <c r="C7" s="1">
        <v>18950949</v>
      </c>
      <c r="D7" s="1">
        <v>7577471</v>
      </c>
      <c r="E7" s="1">
        <v>138883</v>
      </c>
      <c r="F7" s="1">
        <v>10507462</v>
      </c>
      <c r="G7" s="1">
        <v>8442581</v>
      </c>
    </row>
    <row r="8" spans="1:7" x14ac:dyDescent="0.25">
      <c r="A8" s="1">
        <v>1558033</v>
      </c>
      <c r="B8" s="1">
        <v>12929599</v>
      </c>
      <c r="C8" s="1">
        <v>17280722</v>
      </c>
      <c r="D8" s="1">
        <v>12829599</v>
      </c>
      <c r="E8" s="1">
        <v>148004</v>
      </c>
      <c r="F8" s="1">
        <v>15722689</v>
      </c>
      <c r="G8" s="1">
        <v>13402050</v>
      </c>
    </row>
    <row r="9" spans="1:7" x14ac:dyDescent="0.25">
      <c r="A9" s="1">
        <v>-1699302</v>
      </c>
      <c r="B9" s="1">
        <v>7321042</v>
      </c>
      <c r="C9" s="1">
        <v>12865033</v>
      </c>
      <c r="D9" s="1">
        <v>7221042</v>
      </c>
      <c r="E9" s="1">
        <v>214458</v>
      </c>
      <c r="F9" s="1">
        <v>14564335</v>
      </c>
      <c r="G9" s="1">
        <v>7683253</v>
      </c>
    </row>
    <row r="10" spans="1:7" x14ac:dyDescent="0.25">
      <c r="A10" s="1">
        <v>-5958196</v>
      </c>
      <c r="B10" s="1">
        <v>14219713</v>
      </c>
      <c r="C10" s="1">
        <v>16739427</v>
      </c>
      <c r="D10" s="1">
        <v>14119713</v>
      </c>
      <c r="E10" s="1">
        <v>388391</v>
      </c>
      <c r="F10" s="1">
        <v>22697623</v>
      </c>
      <c r="G10" s="1">
        <v>14444580</v>
      </c>
    </row>
    <row r="11" spans="1:7" x14ac:dyDescent="0.25">
      <c r="A11" s="1">
        <v>-10450267</v>
      </c>
      <c r="B11" s="1">
        <v>7723385</v>
      </c>
      <c r="C11" s="1">
        <v>14483512</v>
      </c>
      <c r="D11" s="1">
        <v>7623385</v>
      </c>
      <c r="E11" s="1">
        <v>363396</v>
      </c>
      <c r="F11" s="1">
        <v>24933779</v>
      </c>
      <c r="G11" s="1">
        <v>8287099</v>
      </c>
    </row>
    <row r="12" spans="1:7" x14ac:dyDescent="0.25">
      <c r="A12" s="1">
        <v>3102730</v>
      </c>
      <c r="B12" s="1">
        <v>13433304</v>
      </c>
      <c r="C12" s="1">
        <v>25517865</v>
      </c>
      <c r="D12" s="1">
        <v>13333304</v>
      </c>
      <c r="E12" s="1">
        <v>249202</v>
      </c>
      <c r="F12" s="1">
        <v>22415135</v>
      </c>
      <c r="G12" s="1">
        <v>14094108</v>
      </c>
    </row>
    <row r="13" spans="1:7" x14ac:dyDescent="0.25">
      <c r="A13" s="1">
        <v>-9515416</v>
      </c>
      <c r="B13" s="1">
        <v>13245123</v>
      </c>
      <c r="C13" s="1">
        <v>13415355</v>
      </c>
      <c r="D13" s="1">
        <v>13145123</v>
      </c>
      <c r="E13" s="1">
        <v>363508</v>
      </c>
      <c r="F13" s="1">
        <v>22930771</v>
      </c>
      <c r="G13" s="1">
        <v>13602386</v>
      </c>
    </row>
    <row r="14" spans="1:7" x14ac:dyDescent="0.25">
      <c r="A14" s="1">
        <v>9684313</v>
      </c>
      <c r="B14" s="1">
        <v>4759231</v>
      </c>
      <c r="C14" s="1">
        <v>22248542</v>
      </c>
      <c r="D14" s="1">
        <v>4659231</v>
      </c>
      <c r="E14" s="1">
        <v>344243</v>
      </c>
      <c r="F14" s="1">
        <v>12564229</v>
      </c>
      <c r="G14" s="1">
        <v>5569819</v>
      </c>
    </row>
    <row r="15" spans="1:7" x14ac:dyDescent="0.25">
      <c r="A15" s="1">
        <v>9067748</v>
      </c>
      <c r="B15" s="1">
        <v>6505027</v>
      </c>
      <c r="C15" s="1">
        <v>22729020</v>
      </c>
      <c r="D15" s="1">
        <v>6405027</v>
      </c>
      <c r="E15" s="1">
        <v>201039</v>
      </c>
      <c r="F15" s="1">
        <v>13661272</v>
      </c>
      <c r="G15" s="1">
        <v>7461786</v>
      </c>
    </row>
    <row r="16" spans="1:7" x14ac:dyDescent="0.25">
      <c r="A16" s="1">
        <v>-1118680</v>
      </c>
      <c r="B16" s="1">
        <v>13207491</v>
      </c>
      <c r="C16" s="1">
        <v>20511012</v>
      </c>
      <c r="D16" s="1">
        <v>13107491</v>
      </c>
      <c r="E16" s="1">
        <v>245968</v>
      </c>
      <c r="F16" s="1">
        <v>21629692</v>
      </c>
      <c r="G16" s="1">
        <v>14167518</v>
      </c>
    </row>
    <row r="17" spans="1:7" x14ac:dyDescent="0.25">
      <c r="A17" s="1">
        <v>5206084</v>
      </c>
      <c r="B17" s="1">
        <v>2402015</v>
      </c>
      <c r="C17" s="1">
        <v>21742356</v>
      </c>
      <c r="D17" s="1">
        <v>2302015</v>
      </c>
      <c r="E17" s="1">
        <v>148290</v>
      </c>
      <c r="F17" s="1">
        <v>16536272</v>
      </c>
      <c r="G17" s="1">
        <v>2694615</v>
      </c>
    </row>
    <row r="18" spans="1:7" x14ac:dyDescent="0.25">
      <c r="A18" s="1">
        <v>-795227</v>
      </c>
      <c r="B18" s="1">
        <v>10817831</v>
      </c>
      <c r="C18" s="1">
        <v>22192778</v>
      </c>
      <c r="D18" s="1">
        <v>10717831</v>
      </c>
      <c r="E18" s="1">
        <v>200485</v>
      </c>
      <c r="F18" s="1">
        <v>22988005</v>
      </c>
      <c r="G18" s="1">
        <v>11319869</v>
      </c>
    </row>
    <row r="19" spans="1:7" x14ac:dyDescent="0.25">
      <c r="A19" s="1">
        <v>9567109</v>
      </c>
      <c r="B19" s="1">
        <v>2080415</v>
      </c>
      <c r="C19" s="1">
        <v>23002305</v>
      </c>
      <c r="D19" s="1">
        <v>1980415</v>
      </c>
      <c r="E19" s="1">
        <v>199289</v>
      </c>
      <c r="F19" s="1">
        <v>13435196</v>
      </c>
      <c r="G19" s="1">
        <v>2915591</v>
      </c>
    </row>
    <row r="20" spans="1:7" x14ac:dyDescent="0.25">
      <c r="A20" s="1">
        <v>-448492</v>
      </c>
      <c r="B20" s="1">
        <v>12111962</v>
      </c>
      <c r="C20" s="1">
        <v>15153729</v>
      </c>
      <c r="D20" s="1">
        <v>12011962</v>
      </c>
      <c r="E20" s="1">
        <v>428139</v>
      </c>
      <c r="F20" s="1">
        <v>15602221</v>
      </c>
      <c r="G20" s="1">
        <v>12570944</v>
      </c>
    </row>
    <row r="21" spans="1:7" x14ac:dyDescent="0.25">
      <c r="A21" s="1">
        <v>-467841</v>
      </c>
      <c r="B21" s="1">
        <v>6960226</v>
      </c>
      <c r="C21" s="1">
        <v>15805880</v>
      </c>
      <c r="D21" s="1">
        <v>6860226</v>
      </c>
      <c r="E21" s="1">
        <v>207048</v>
      </c>
      <c r="F21" s="1">
        <v>16273721</v>
      </c>
      <c r="G21" s="1">
        <v>7606049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G21"/>
  <sheetViews>
    <sheetView workbookViewId="0">
      <selection activeCell="F23" sqref="F23"/>
    </sheetView>
  </sheetViews>
  <sheetFormatPr baseColWidth="10" defaultRowHeight="15" x14ac:dyDescent="0.25"/>
  <sheetData>
    <row r="1" spans="1: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25">
      <c r="A2" s="1">
        <v>-4071868</v>
      </c>
      <c r="B2" s="1">
        <v>8971976</v>
      </c>
      <c r="C2" s="1">
        <v>15701038</v>
      </c>
      <c r="D2" s="1">
        <v>8871976</v>
      </c>
      <c r="E2" s="1">
        <v>203124</v>
      </c>
      <c r="F2" s="1">
        <v>19772906</v>
      </c>
      <c r="G2" s="1">
        <v>9253255</v>
      </c>
    </row>
    <row r="3" spans="1:7" x14ac:dyDescent="0.25">
      <c r="A3" s="1">
        <v>792206</v>
      </c>
      <c r="B3" s="1">
        <v>10563750</v>
      </c>
      <c r="C3" s="1">
        <v>22159962</v>
      </c>
      <c r="D3" s="1">
        <v>10463750</v>
      </c>
      <c r="E3" s="1">
        <v>208170</v>
      </c>
      <c r="F3" s="1">
        <v>21367756</v>
      </c>
      <c r="G3" s="1">
        <v>10921264</v>
      </c>
    </row>
    <row r="4" spans="1:7" x14ac:dyDescent="0.25">
      <c r="A4" s="1">
        <v>5640419</v>
      </c>
      <c r="B4" s="1">
        <v>5228828</v>
      </c>
      <c r="C4" s="1">
        <v>25743034</v>
      </c>
      <c r="D4" s="1">
        <v>5128828</v>
      </c>
      <c r="E4" s="1">
        <v>306697</v>
      </c>
      <c r="F4" s="1">
        <v>20102615</v>
      </c>
      <c r="G4" s="1">
        <v>6114153</v>
      </c>
    </row>
    <row r="5" spans="1:7" x14ac:dyDescent="0.25">
      <c r="A5" s="1">
        <v>4210530</v>
      </c>
      <c r="B5" s="1">
        <v>8992874</v>
      </c>
      <c r="C5" s="1">
        <v>19122529</v>
      </c>
      <c r="D5" s="1">
        <v>8892874</v>
      </c>
      <c r="E5" s="1">
        <v>255600</v>
      </c>
      <c r="F5" s="1">
        <v>14911999</v>
      </c>
      <c r="G5" s="1">
        <v>9287741</v>
      </c>
    </row>
    <row r="6" spans="1:7" x14ac:dyDescent="0.25">
      <c r="A6" s="1">
        <v>2887233</v>
      </c>
      <c r="B6" s="1">
        <v>13147117</v>
      </c>
      <c r="C6" s="1">
        <v>21448394</v>
      </c>
      <c r="D6" s="1">
        <v>13047117</v>
      </c>
      <c r="E6" s="1">
        <v>196255</v>
      </c>
      <c r="F6" s="1">
        <v>18561161</v>
      </c>
      <c r="G6" s="1">
        <v>13543145</v>
      </c>
    </row>
    <row r="7" spans="1:7" x14ac:dyDescent="0.25">
      <c r="A7" s="1">
        <v>1685691</v>
      </c>
      <c r="B7" s="1">
        <v>12971148</v>
      </c>
      <c r="C7" s="1">
        <v>21322103</v>
      </c>
      <c r="D7" s="1">
        <v>12871148</v>
      </c>
      <c r="E7" s="1">
        <v>347600</v>
      </c>
      <c r="F7" s="1">
        <v>19636412</v>
      </c>
      <c r="G7" s="1">
        <v>13906952</v>
      </c>
    </row>
    <row r="8" spans="1:7" x14ac:dyDescent="0.25">
      <c r="A8" s="1">
        <v>-3225736</v>
      </c>
      <c r="B8" s="1">
        <v>4960797</v>
      </c>
      <c r="C8" s="1">
        <v>19580822</v>
      </c>
      <c r="D8" s="1">
        <v>4860797</v>
      </c>
      <c r="E8" s="1">
        <v>365350</v>
      </c>
      <c r="F8" s="1">
        <v>22806558</v>
      </c>
      <c r="G8" s="1">
        <v>5597803</v>
      </c>
    </row>
    <row r="9" spans="1:7" x14ac:dyDescent="0.25">
      <c r="A9" s="1">
        <v>3125064</v>
      </c>
      <c r="B9" s="1">
        <v>14107331</v>
      </c>
      <c r="C9" s="1">
        <v>20552628</v>
      </c>
      <c r="D9" s="1">
        <v>14007331</v>
      </c>
      <c r="E9" s="1">
        <v>296064</v>
      </c>
      <c r="F9" s="1">
        <v>17427564</v>
      </c>
      <c r="G9" s="1">
        <v>14593538</v>
      </c>
    </row>
    <row r="10" spans="1:7" x14ac:dyDescent="0.25">
      <c r="A10" s="1">
        <v>4819843</v>
      </c>
      <c r="B10" s="1">
        <v>6813112</v>
      </c>
      <c r="C10" s="1">
        <v>23154062</v>
      </c>
      <c r="D10" s="1">
        <v>6713112</v>
      </c>
      <c r="E10" s="1">
        <v>266841</v>
      </c>
      <c r="F10" s="1">
        <v>18334219</v>
      </c>
      <c r="G10" s="1">
        <v>7410181</v>
      </c>
    </row>
    <row r="11" spans="1:7" x14ac:dyDescent="0.25">
      <c r="A11" s="1">
        <v>1524804</v>
      </c>
      <c r="B11" s="1">
        <v>5173541</v>
      </c>
      <c r="C11" s="1">
        <v>17658795</v>
      </c>
      <c r="D11" s="1">
        <v>5073541</v>
      </c>
      <c r="E11" s="1">
        <v>449026</v>
      </c>
      <c r="F11" s="1">
        <v>16133991</v>
      </c>
      <c r="G11" s="1">
        <v>5878212</v>
      </c>
    </row>
    <row r="12" spans="1:7" x14ac:dyDescent="0.25">
      <c r="A12" s="1">
        <v>-1946723</v>
      </c>
      <c r="B12" s="1">
        <v>6728620</v>
      </c>
      <c r="C12" s="1">
        <v>15406364</v>
      </c>
      <c r="D12" s="1">
        <v>6628620</v>
      </c>
      <c r="E12" s="1">
        <v>228340</v>
      </c>
      <c r="F12" s="1">
        <v>17353087</v>
      </c>
      <c r="G12" s="1">
        <v>6896293</v>
      </c>
    </row>
    <row r="13" spans="1:7" x14ac:dyDescent="0.25">
      <c r="A13" s="1">
        <v>1153126</v>
      </c>
      <c r="B13" s="1">
        <v>3656309</v>
      </c>
      <c r="C13" s="1">
        <v>22435472</v>
      </c>
      <c r="D13" s="1">
        <v>3556309</v>
      </c>
      <c r="E13" s="1">
        <v>370975</v>
      </c>
      <c r="F13" s="1">
        <v>21282346</v>
      </c>
      <c r="G13" s="1">
        <v>4634339</v>
      </c>
    </row>
    <row r="14" spans="1:7" x14ac:dyDescent="0.25">
      <c r="A14" s="1">
        <v>-2832271</v>
      </c>
      <c r="B14" s="1">
        <v>9000832</v>
      </c>
      <c r="C14" s="1">
        <v>11683026</v>
      </c>
      <c r="D14" s="1">
        <v>8900832</v>
      </c>
      <c r="E14" s="1">
        <v>107927</v>
      </c>
      <c r="F14" s="1">
        <v>14515297</v>
      </c>
      <c r="G14" s="1">
        <v>9464077</v>
      </c>
    </row>
    <row r="15" spans="1:7" x14ac:dyDescent="0.25">
      <c r="A15" s="1">
        <v>2101397</v>
      </c>
      <c r="B15" s="1">
        <v>8502703</v>
      </c>
      <c r="C15" s="1">
        <v>20815120</v>
      </c>
      <c r="D15" s="1">
        <v>8402703</v>
      </c>
      <c r="E15" s="1">
        <v>309383</v>
      </c>
      <c r="F15" s="1">
        <v>18713723</v>
      </c>
      <c r="G15" s="1">
        <v>9212010</v>
      </c>
    </row>
    <row r="16" spans="1:7" x14ac:dyDescent="0.25">
      <c r="A16" s="1">
        <v>-1287452</v>
      </c>
      <c r="B16" s="1">
        <v>10478281</v>
      </c>
      <c r="C16" s="1">
        <v>17824456</v>
      </c>
      <c r="D16" s="1">
        <v>10378281</v>
      </c>
      <c r="E16" s="1">
        <v>392505</v>
      </c>
      <c r="F16" s="1">
        <v>19111908</v>
      </c>
      <c r="G16" s="1">
        <v>10742805</v>
      </c>
    </row>
    <row r="17" spans="1:7" x14ac:dyDescent="0.25">
      <c r="A17" s="1">
        <v>-12405719</v>
      </c>
      <c r="B17" s="1">
        <v>749472</v>
      </c>
      <c r="C17" s="1">
        <v>11625342</v>
      </c>
      <c r="D17" s="1">
        <v>649472</v>
      </c>
      <c r="E17" s="1">
        <v>485882</v>
      </c>
      <c r="F17" s="1">
        <v>24031061</v>
      </c>
      <c r="G17" s="1">
        <v>1704025</v>
      </c>
    </row>
    <row r="18" spans="1:7" x14ac:dyDescent="0.25">
      <c r="A18" s="1">
        <v>-13437609</v>
      </c>
      <c r="B18" s="1">
        <v>13282127</v>
      </c>
      <c r="C18" s="1">
        <v>11413864</v>
      </c>
      <c r="D18" s="1">
        <v>13182127</v>
      </c>
      <c r="E18" s="1">
        <v>451232</v>
      </c>
      <c r="F18" s="1">
        <v>24851473</v>
      </c>
      <c r="G18" s="1">
        <v>14021717</v>
      </c>
    </row>
    <row r="19" spans="1:7" x14ac:dyDescent="0.25">
      <c r="A19" s="1">
        <v>7032191</v>
      </c>
      <c r="B19" s="1">
        <v>10833928</v>
      </c>
      <c r="C19" s="1">
        <v>20761346</v>
      </c>
      <c r="D19" s="1">
        <v>10733928</v>
      </c>
      <c r="E19" s="1">
        <v>108050</v>
      </c>
      <c r="F19" s="1">
        <v>13729155</v>
      </c>
      <c r="G19" s="1">
        <v>11770412</v>
      </c>
    </row>
    <row r="20" spans="1:7" x14ac:dyDescent="0.25">
      <c r="A20" s="1">
        <v>4585375</v>
      </c>
      <c r="B20" s="1">
        <v>3051865</v>
      </c>
      <c r="C20" s="1">
        <v>16049610</v>
      </c>
      <c r="D20" s="1">
        <v>2951865</v>
      </c>
      <c r="E20" s="1">
        <v>461580</v>
      </c>
      <c r="F20" s="1">
        <v>11464235</v>
      </c>
      <c r="G20" s="1">
        <v>3695361</v>
      </c>
    </row>
    <row r="21" spans="1:7" x14ac:dyDescent="0.25">
      <c r="A21" s="1">
        <v>-5673288</v>
      </c>
      <c r="B21" s="1">
        <v>9253962</v>
      </c>
      <c r="C21" s="1">
        <v>13532916</v>
      </c>
      <c r="D21" s="1">
        <v>9153962</v>
      </c>
      <c r="E21" s="1">
        <v>250839</v>
      </c>
      <c r="F21" s="1">
        <v>19206204</v>
      </c>
      <c r="G21" s="1">
        <v>9488747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21"/>
  <sheetViews>
    <sheetView workbookViewId="0">
      <selection activeCell="H23" sqref="H23"/>
    </sheetView>
  </sheetViews>
  <sheetFormatPr baseColWidth="10" defaultRowHeight="15" x14ac:dyDescent="0.25"/>
  <sheetData>
    <row r="1" spans="1: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25">
      <c r="A2" s="1">
        <v>-6311341</v>
      </c>
      <c r="B2" s="1">
        <v>12219821</v>
      </c>
      <c r="C2" s="1">
        <v>14950608</v>
      </c>
      <c r="D2" s="1">
        <v>12119821</v>
      </c>
      <c r="E2" s="1">
        <v>263374</v>
      </c>
      <c r="F2" s="1">
        <v>21261949</v>
      </c>
      <c r="G2" s="1">
        <v>12774705</v>
      </c>
    </row>
    <row r="3" spans="1:7" x14ac:dyDescent="0.25">
      <c r="A3" s="1">
        <v>8695609</v>
      </c>
      <c r="B3" s="1">
        <v>5934684</v>
      </c>
      <c r="C3" s="1">
        <v>21803518</v>
      </c>
      <c r="D3" s="1">
        <v>5834684</v>
      </c>
      <c r="E3" s="1">
        <v>478604</v>
      </c>
      <c r="F3" s="1">
        <v>13107909</v>
      </c>
      <c r="G3" s="1">
        <v>6794410</v>
      </c>
    </row>
    <row r="4" spans="1:7" x14ac:dyDescent="0.25">
      <c r="A4" s="1">
        <v>11842621</v>
      </c>
      <c r="B4" s="1">
        <v>5946111</v>
      </c>
      <c r="C4" s="1">
        <v>23514900</v>
      </c>
      <c r="D4" s="1">
        <v>5846111</v>
      </c>
      <c r="E4" s="1">
        <v>445298</v>
      </c>
      <c r="F4" s="1">
        <v>11672279</v>
      </c>
      <c r="G4" s="1">
        <v>6142666</v>
      </c>
    </row>
    <row r="5" spans="1:7" x14ac:dyDescent="0.25">
      <c r="A5" s="1">
        <v>4948429</v>
      </c>
      <c r="B5" s="1">
        <v>6452618</v>
      </c>
      <c r="C5" s="1">
        <v>23486157</v>
      </c>
      <c r="D5" s="1">
        <v>6352618</v>
      </c>
      <c r="E5" s="1">
        <v>323819</v>
      </c>
      <c r="F5" s="1">
        <v>18537728</v>
      </c>
      <c r="G5" s="1">
        <v>6902284</v>
      </c>
    </row>
    <row r="6" spans="1:7" x14ac:dyDescent="0.25">
      <c r="A6" s="1">
        <v>-1437436</v>
      </c>
      <c r="B6" s="1">
        <v>9825695</v>
      </c>
      <c r="C6" s="1">
        <v>23468782</v>
      </c>
      <c r="D6" s="1">
        <v>9725695</v>
      </c>
      <c r="E6" s="1">
        <v>182774</v>
      </c>
      <c r="F6" s="1">
        <v>24906218</v>
      </c>
      <c r="G6" s="1">
        <v>9941860</v>
      </c>
    </row>
    <row r="7" spans="1:7" x14ac:dyDescent="0.25">
      <c r="A7" s="1">
        <v>2658190</v>
      </c>
      <c r="B7" s="1">
        <v>5882746</v>
      </c>
      <c r="C7" s="1">
        <v>24548838</v>
      </c>
      <c r="D7" s="1">
        <v>5782746</v>
      </c>
      <c r="E7" s="1">
        <v>189074</v>
      </c>
      <c r="F7" s="1">
        <v>21890648</v>
      </c>
      <c r="G7" s="1">
        <v>6665520</v>
      </c>
    </row>
    <row r="8" spans="1:7" x14ac:dyDescent="0.25">
      <c r="A8" s="1">
        <v>-3107811</v>
      </c>
      <c r="B8" s="1">
        <v>13189767</v>
      </c>
      <c r="C8" s="1">
        <v>15253511</v>
      </c>
      <c r="D8" s="1">
        <v>13089767</v>
      </c>
      <c r="E8" s="1">
        <v>215518</v>
      </c>
      <c r="F8" s="1">
        <v>18361322</v>
      </c>
      <c r="G8" s="1">
        <v>14021906</v>
      </c>
    </row>
    <row r="9" spans="1:7" x14ac:dyDescent="0.25">
      <c r="A9" s="1">
        <v>-3924307</v>
      </c>
      <c r="B9" s="1">
        <v>2011386</v>
      </c>
      <c r="C9" s="1">
        <v>20764602</v>
      </c>
      <c r="D9" s="1">
        <v>1911386</v>
      </c>
      <c r="E9" s="1">
        <v>231851</v>
      </c>
      <c r="F9" s="1">
        <v>24688909</v>
      </c>
      <c r="G9" s="1">
        <v>2140499</v>
      </c>
    </row>
    <row r="10" spans="1:7" x14ac:dyDescent="0.25">
      <c r="A10" s="1">
        <v>-299386</v>
      </c>
      <c r="B10" s="1">
        <v>9935835</v>
      </c>
      <c r="C10" s="1">
        <v>16359826</v>
      </c>
      <c r="D10" s="1">
        <v>9835835</v>
      </c>
      <c r="E10" s="1">
        <v>113945</v>
      </c>
      <c r="F10" s="1">
        <v>16659212</v>
      </c>
      <c r="G10" s="1">
        <v>10043809</v>
      </c>
    </row>
    <row r="11" spans="1:7" x14ac:dyDescent="0.25">
      <c r="A11" s="1">
        <v>3215388</v>
      </c>
      <c r="B11" s="1">
        <v>10563993</v>
      </c>
      <c r="C11" s="1">
        <v>22907859</v>
      </c>
      <c r="D11" s="1">
        <v>10463993</v>
      </c>
      <c r="E11" s="1">
        <v>160618</v>
      </c>
      <c r="F11" s="1">
        <v>19692471</v>
      </c>
      <c r="G11" s="1">
        <v>11242611</v>
      </c>
    </row>
    <row r="12" spans="1:7" x14ac:dyDescent="0.25">
      <c r="A12" s="1">
        <v>-1382090</v>
      </c>
      <c r="B12" s="1">
        <v>11377713</v>
      </c>
      <c r="C12" s="1">
        <v>19613743</v>
      </c>
      <c r="D12" s="1">
        <v>11277713</v>
      </c>
      <c r="E12" s="1">
        <v>436345</v>
      </c>
      <c r="F12" s="1">
        <v>20995833</v>
      </c>
      <c r="G12" s="1">
        <v>11890815</v>
      </c>
    </row>
    <row r="13" spans="1:7" x14ac:dyDescent="0.25">
      <c r="A13" s="1">
        <v>-5527357</v>
      </c>
      <c r="B13" s="1">
        <v>2634310</v>
      </c>
      <c r="C13" s="1">
        <v>17167143</v>
      </c>
      <c r="D13" s="1">
        <v>2534310</v>
      </c>
      <c r="E13" s="1">
        <v>225513</v>
      </c>
      <c r="F13" s="1">
        <v>22694500</v>
      </c>
      <c r="G13" s="1">
        <v>3438036</v>
      </c>
    </row>
    <row r="14" spans="1:7" x14ac:dyDescent="0.25">
      <c r="A14" s="1">
        <v>8428979</v>
      </c>
      <c r="B14" s="1">
        <v>5310524</v>
      </c>
      <c r="C14" s="1">
        <v>18437602</v>
      </c>
      <c r="D14" s="1">
        <v>5210524</v>
      </c>
      <c r="E14" s="1">
        <v>184084</v>
      </c>
      <c r="F14" s="1">
        <v>10008623</v>
      </c>
      <c r="G14" s="1">
        <v>5946934</v>
      </c>
    </row>
    <row r="15" spans="1:7" x14ac:dyDescent="0.25">
      <c r="A15" s="1">
        <v>8631307</v>
      </c>
      <c r="B15" s="1">
        <v>4043264</v>
      </c>
      <c r="C15" s="1">
        <v>20863713</v>
      </c>
      <c r="D15" s="1">
        <v>3943264</v>
      </c>
      <c r="E15" s="1">
        <v>216505</v>
      </c>
      <c r="F15" s="1">
        <v>12232406</v>
      </c>
      <c r="G15" s="1">
        <v>5041157</v>
      </c>
    </row>
    <row r="16" spans="1:7" x14ac:dyDescent="0.25">
      <c r="A16" s="1">
        <v>-2713308</v>
      </c>
      <c r="B16" s="1">
        <v>7931167</v>
      </c>
      <c r="C16" s="1">
        <v>10681783</v>
      </c>
      <c r="D16" s="1">
        <v>7831167</v>
      </c>
      <c r="E16" s="1">
        <v>434862</v>
      </c>
      <c r="F16" s="1">
        <v>13395091</v>
      </c>
      <c r="G16" s="1">
        <v>8042661</v>
      </c>
    </row>
    <row r="17" spans="1:7" x14ac:dyDescent="0.25">
      <c r="A17" s="1">
        <v>-9895761</v>
      </c>
      <c r="B17" s="1">
        <v>14437013</v>
      </c>
      <c r="C17" s="1">
        <v>12930169</v>
      </c>
      <c r="D17" s="1">
        <v>14337013</v>
      </c>
      <c r="E17" s="1">
        <v>351564</v>
      </c>
      <c r="F17" s="1">
        <v>22825930</v>
      </c>
      <c r="G17" s="1">
        <v>14865971</v>
      </c>
    </row>
    <row r="18" spans="1:7" x14ac:dyDescent="0.25">
      <c r="A18" s="1">
        <v>4022732</v>
      </c>
      <c r="B18" s="1">
        <v>11162302</v>
      </c>
      <c r="C18" s="1">
        <v>20967235</v>
      </c>
      <c r="D18" s="1">
        <v>11062302</v>
      </c>
      <c r="E18" s="1">
        <v>110548</v>
      </c>
      <c r="F18" s="1">
        <v>16944503</v>
      </c>
      <c r="G18" s="1">
        <v>11673279</v>
      </c>
    </row>
    <row r="19" spans="1:7" x14ac:dyDescent="0.25">
      <c r="A19" s="1">
        <v>-6873012</v>
      </c>
      <c r="B19" s="1">
        <v>1468236</v>
      </c>
      <c r="C19" s="1">
        <v>16714157</v>
      </c>
      <c r="D19" s="1">
        <v>1368236</v>
      </c>
      <c r="E19" s="1">
        <v>103916</v>
      </c>
      <c r="F19" s="1">
        <v>23587169</v>
      </c>
      <c r="G19" s="1">
        <v>1876747</v>
      </c>
    </row>
    <row r="20" spans="1:7" x14ac:dyDescent="0.25">
      <c r="A20" s="1">
        <v>-8261638</v>
      </c>
      <c r="B20" s="1">
        <v>11544410</v>
      </c>
      <c r="C20" s="1">
        <v>11630330</v>
      </c>
      <c r="D20" s="1">
        <v>11444410</v>
      </c>
      <c r="E20" s="1">
        <v>226878</v>
      </c>
      <c r="F20" s="1">
        <v>19891968</v>
      </c>
      <c r="G20" s="1">
        <v>11879381</v>
      </c>
    </row>
    <row r="21" spans="1:7" x14ac:dyDescent="0.25">
      <c r="A21" s="1">
        <v>-225852</v>
      </c>
      <c r="B21" s="1">
        <v>1566182</v>
      </c>
      <c r="C21" s="1">
        <v>19721372</v>
      </c>
      <c r="D21" s="1">
        <v>1466182</v>
      </c>
      <c r="E21" s="1">
        <v>478732</v>
      </c>
      <c r="F21" s="1">
        <v>19947224</v>
      </c>
      <c r="G21" s="1">
        <v>2268761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G21"/>
  <sheetViews>
    <sheetView workbookViewId="0">
      <selection activeCell="I5" sqref="I5"/>
    </sheetView>
  </sheetViews>
  <sheetFormatPr baseColWidth="10" defaultRowHeight="15" x14ac:dyDescent="0.25"/>
  <sheetData>
    <row r="1" spans="1: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25">
      <c r="A2" s="1">
        <v>-2952448</v>
      </c>
      <c r="B2" s="1">
        <v>6526653</v>
      </c>
      <c r="C2" s="1">
        <v>17329098</v>
      </c>
      <c r="D2" s="1">
        <v>6426653</v>
      </c>
      <c r="E2" s="1">
        <v>295961</v>
      </c>
      <c r="F2" s="1">
        <v>20281546</v>
      </c>
      <c r="G2" s="1">
        <v>7420602</v>
      </c>
    </row>
    <row r="3" spans="1:7" x14ac:dyDescent="0.25">
      <c r="A3" s="1">
        <v>1543361</v>
      </c>
      <c r="B3" s="1">
        <v>6638859</v>
      </c>
      <c r="C3" s="1">
        <v>21352018</v>
      </c>
      <c r="D3" s="1">
        <v>6538859</v>
      </c>
      <c r="E3" s="1">
        <v>223577</v>
      </c>
      <c r="F3" s="1">
        <v>19808657</v>
      </c>
      <c r="G3" s="1">
        <v>7089111</v>
      </c>
    </row>
    <row r="4" spans="1:7" x14ac:dyDescent="0.25">
      <c r="A4" s="1">
        <v>-5243746</v>
      </c>
      <c r="B4" s="1">
        <v>9332375</v>
      </c>
      <c r="C4" s="1">
        <v>19695101</v>
      </c>
      <c r="D4" s="1">
        <v>9232375</v>
      </c>
      <c r="E4" s="1">
        <v>494116</v>
      </c>
      <c r="F4" s="1">
        <v>24938847</v>
      </c>
      <c r="G4" s="1">
        <v>9470754</v>
      </c>
    </row>
    <row r="5" spans="1:7" x14ac:dyDescent="0.25">
      <c r="A5" s="1">
        <v>-10634262</v>
      </c>
      <c r="B5" s="1">
        <v>6572345</v>
      </c>
      <c r="C5" s="1">
        <v>12962398</v>
      </c>
      <c r="D5" s="1">
        <v>6472345</v>
      </c>
      <c r="E5" s="1">
        <v>274535</v>
      </c>
      <c r="F5" s="1">
        <v>23596660</v>
      </c>
      <c r="G5" s="1">
        <v>7083771</v>
      </c>
    </row>
    <row r="6" spans="1:7" x14ac:dyDescent="0.25">
      <c r="A6" s="1">
        <v>5675282</v>
      </c>
      <c r="B6" s="1">
        <v>8399156</v>
      </c>
      <c r="C6" s="1">
        <v>17984770</v>
      </c>
      <c r="D6" s="1">
        <v>8299156</v>
      </c>
      <c r="E6" s="1">
        <v>464276</v>
      </c>
      <c r="F6" s="1">
        <v>12309488</v>
      </c>
      <c r="G6" s="1">
        <v>8596679</v>
      </c>
    </row>
    <row r="7" spans="1:7" x14ac:dyDescent="0.25">
      <c r="A7" s="1">
        <v>5912342</v>
      </c>
      <c r="B7" s="1">
        <v>13029767</v>
      </c>
      <c r="C7" s="1">
        <v>17336875</v>
      </c>
      <c r="D7" s="1">
        <v>12929767</v>
      </c>
      <c r="E7" s="1">
        <v>170608</v>
      </c>
      <c r="F7" s="1">
        <v>11424533</v>
      </c>
      <c r="G7" s="1">
        <v>13766054</v>
      </c>
    </row>
    <row r="8" spans="1:7" x14ac:dyDescent="0.25">
      <c r="A8" s="1">
        <v>-1273462</v>
      </c>
      <c r="B8" s="1">
        <v>2532301</v>
      </c>
      <c r="C8" s="1">
        <v>14262889</v>
      </c>
      <c r="D8" s="1">
        <v>2432301</v>
      </c>
      <c r="E8" s="1">
        <v>302741</v>
      </c>
      <c r="F8" s="1">
        <v>15536351</v>
      </c>
      <c r="G8" s="1">
        <v>3461521</v>
      </c>
    </row>
    <row r="9" spans="1:7" x14ac:dyDescent="0.25">
      <c r="A9" s="1">
        <v>-2703333</v>
      </c>
      <c r="B9" s="1">
        <v>5781080</v>
      </c>
      <c r="C9" s="1">
        <v>13847753</v>
      </c>
      <c r="D9" s="1">
        <v>5681080</v>
      </c>
      <c r="E9" s="1">
        <v>144752</v>
      </c>
      <c r="F9" s="1">
        <v>16551086</v>
      </c>
      <c r="G9" s="1">
        <v>5983331</v>
      </c>
    </row>
    <row r="10" spans="1:7" x14ac:dyDescent="0.25">
      <c r="A10" s="1">
        <v>11531803</v>
      </c>
      <c r="B10" s="1">
        <v>13246470</v>
      </c>
      <c r="C10" s="1">
        <v>24683986</v>
      </c>
      <c r="D10" s="1">
        <v>13146470</v>
      </c>
      <c r="E10" s="1">
        <v>303524</v>
      </c>
      <c r="F10" s="1">
        <v>13152183</v>
      </c>
      <c r="G10" s="1">
        <v>13955952</v>
      </c>
    </row>
    <row r="11" spans="1:7" x14ac:dyDescent="0.25">
      <c r="A11" s="1">
        <v>-127677</v>
      </c>
      <c r="B11" s="1">
        <v>4905012</v>
      </c>
      <c r="C11" s="1">
        <v>20800746</v>
      </c>
      <c r="D11" s="1">
        <v>4805012</v>
      </c>
      <c r="E11" s="1">
        <v>463601</v>
      </c>
      <c r="F11" s="1">
        <v>20928423</v>
      </c>
      <c r="G11" s="1">
        <v>5554072</v>
      </c>
    </row>
    <row r="12" spans="1:7" x14ac:dyDescent="0.25">
      <c r="A12" s="1">
        <v>-1120625</v>
      </c>
      <c r="B12" s="1">
        <v>9730429</v>
      </c>
      <c r="C12" s="1">
        <v>12657304</v>
      </c>
      <c r="D12" s="1">
        <v>9630429</v>
      </c>
      <c r="E12" s="1">
        <v>416987</v>
      </c>
      <c r="F12" s="1">
        <v>13777929</v>
      </c>
      <c r="G12" s="1">
        <v>10256672</v>
      </c>
    </row>
    <row r="13" spans="1:7" x14ac:dyDescent="0.25">
      <c r="A13" s="1">
        <v>2649626</v>
      </c>
      <c r="B13" s="1">
        <v>5619720</v>
      </c>
      <c r="C13" s="1">
        <v>16789369</v>
      </c>
      <c r="D13" s="1">
        <v>5519720</v>
      </c>
      <c r="E13" s="1">
        <v>158010</v>
      </c>
      <c r="F13" s="1">
        <v>14139743</v>
      </c>
      <c r="G13" s="1">
        <v>5972295</v>
      </c>
    </row>
    <row r="14" spans="1:7" x14ac:dyDescent="0.25">
      <c r="A14" s="1">
        <v>190510</v>
      </c>
      <c r="B14" s="1">
        <v>701461</v>
      </c>
      <c r="C14" s="1">
        <v>15147681</v>
      </c>
      <c r="D14" s="1">
        <v>601461</v>
      </c>
      <c r="E14" s="1">
        <v>117172</v>
      </c>
      <c r="F14" s="1">
        <v>14957171</v>
      </c>
      <c r="G14" s="1">
        <v>1071900</v>
      </c>
    </row>
    <row r="15" spans="1:7" x14ac:dyDescent="0.25">
      <c r="A15" s="1">
        <v>9346037</v>
      </c>
      <c r="B15" s="1">
        <v>13186318</v>
      </c>
      <c r="C15" s="1">
        <v>19394753</v>
      </c>
      <c r="D15" s="1">
        <v>13086318</v>
      </c>
      <c r="E15" s="1">
        <v>317675</v>
      </c>
      <c r="F15" s="1">
        <v>10048716</v>
      </c>
      <c r="G15" s="1">
        <v>13907812</v>
      </c>
    </row>
    <row r="16" spans="1:7" x14ac:dyDescent="0.25">
      <c r="A16" s="1">
        <v>-7959666</v>
      </c>
      <c r="B16" s="1">
        <v>8159588</v>
      </c>
      <c r="C16" s="1">
        <v>12550453</v>
      </c>
      <c r="D16" s="1">
        <v>8059588</v>
      </c>
      <c r="E16" s="1">
        <v>448773</v>
      </c>
      <c r="F16" s="1">
        <v>20510119</v>
      </c>
      <c r="G16" s="1">
        <v>8465488</v>
      </c>
    </row>
    <row r="17" spans="1:7" x14ac:dyDescent="0.25">
      <c r="A17" s="1">
        <v>-12912119</v>
      </c>
      <c r="B17" s="1">
        <v>8507030</v>
      </c>
      <c r="C17" s="1">
        <v>11007748</v>
      </c>
      <c r="D17" s="1">
        <v>8407030</v>
      </c>
      <c r="E17" s="1">
        <v>481935</v>
      </c>
      <c r="F17" s="1">
        <v>23919867</v>
      </c>
      <c r="G17" s="1">
        <v>9227676</v>
      </c>
    </row>
    <row r="18" spans="1:7" x14ac:dyDescent="0.25">
      <c r="A18" s="1">
        <v>5220520</v>
      </c>
      <c r="B18" s="1">
        <v>3143929</v>
      </c>
      <c r="C18" s="1">
        <v>21746643</v>
      </c>
      <c r="D18" s="1">
        <v>3043929</v>
      </c>
      <c r="E18" s="1">
        <v>278393</v>
      </c>
      <c r="F18" s="1">
        <v>16526123</v>
      </c>
      <c r="G18" s="1">
        <v>4047922</v>
      </c>
    </row>
    <row r="19" spans="1:7" x14ac:dyDescent="0.25">
      <c r="A19" s="1">
        <v>-3704886</v>
      </c>
      <c r="B19" s="1">
        <v>7581114</v>
      </c>
      <c r="C19" s="1">
        <v>20640504</v>
      </c>
      <c r="D19" s="1">
        <v>7481114</v>
      </c>
      <c r="E19" s="1">
        <v>223073</v>
      </c>
      <c r="F19" s="1">
        <v>24345390</v>
      </c>
      <c r="G19" s="1">
        <v>7889934</v>
      </c>
    </row>
    <row r="20" spans="1:7" x14ac:dyDescent="0.25">
      <c r="A20" s="1">
        <v>1331058</v>
      </c>
      <c r="B20" s="1">
        <v>5193889</v>
      </c>
      <c r="C20" s="1">
        <v>15605653</v>
      </c>
      <c r="D20" s="1">
        <v>5093889</v>
      </c>
      <c r="E20" s="1">
        <v>260482</v>
      </c>
      <c r="F20" s="1">
        <v>14274595</v>
      </c>
      <c r="G20" s="1">
        <v>5580003</v>
      </c>
    </row>
    <row r="21" spans="1:7" x14ac:dyDescent="0.25">
      <c r="A21" s="1">
        <v>575770</v>
      </c>
      <c r="B21" s="1">
        <v>5416779</v>
      </c>
      <c r="C21" s="1">
        <v>15557689</v>
      </c>
      <c r="D21" s="1">
        <v>5316779</v>
      </c>
      <c r="E21" s="1">
        <v>406955</v>
      </c>
      <c r="F21" s="1">
        <v>14981919</v>
      </c>
      <c r="G21" s="1">
        <v>5874074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21"/>
  <sheetViews>
    <sheetView tabSelected="1" workbookViewId="0">
      <selection activeCell="H18" sqref="H18"/>
    </sheetView>
  </sheetViews>
  <sheetFormatPr baseColWidth="10" defaultRowHeight="15" x14ac:dyDescent="0.25"/>
  <sheetData>
    <row r="1" spans="1:5" x14ac:dyDescent="0.25">
      <c r="A1" s="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A2">
        <f>score(A!A2,A!B2,A!C2,A!D2,A!E2,A!F2,A!G2)</f>
        <v>3.7256642361207688</v>
      </c>
      <c r="B2">
        <f>score(B!A2,B!B2,B!C2,B!D2,B!E2,B!F2,B!G2)</f>
        <v>2.4137013045098472</v>
      </c>
      <c r="C2">
        <f>score('C'!A2,'C'!B2,'C'!C2,'C'!D2,'C'!E2,'C'!F2,'C'!G2)</f>
        <v>2.9483925803838336</v>
      </c>
      <c r="D2">
        <f>score(D!A2,D!B2,D!C2,D!D2,D!E2,D!F2,D!G2)</f>
        <v>4.1739169840517194</v>
      </c>
      <c r="E2">
        <f>score(E!A2,E!B2,E!C2,E!D2,E!E2,E!F2,E!G2)</f>
        <v>1.9832099234295399</v>
      </c>
    </row>
    <row r="3" spans="1:5" x14ac:dyDescent="0.25">
      <c r="A3">
        <f>score(A!A3,A!B3,A!C3,A!D3,A!E3,A!F3,A!G3)</f>
        <v>2.022815501124966</v>
      </c>
      <c r="B3">
        <f>score(B!A3,B!B3,B!C3,B!D3,B!E3,B!F3,B!G3)</f>
        <v>2.8205031348194871</v>
      </c>
      <c r="C3">
        <f>score('C'!A3,'C'!B3,'C'!C3,'C'!D3,'C'!E3,'C'!F3,'C'!G3)</f>
        <v>2.7667081584741609</v>
      </c>
      <c r="D3">
        <f>score(D!A3,D!B3,D!C3,D!D3,D!E3,D!F3,D!G3)</f>
        <v>2.0759504603947008</v>
      </c>
      <c r="E3">
        <f>score(E!A3,E!B3,E!C3,E!D3,E!E3,E!F3,E!G3)</f>
        <v>1.8710779651298028</v>
      </c>
    </row>
    <row r="4" spans="1:5" x14ac:dyDescent="0.25">
      <c r="A4">
        <f>score(A!A4,A!B4,A!C4,A!D4,A!E4,A!F4,A!G4)</f>
        <v>1.0524954658230352</v>
      </c>
      <c r="B4">
        <f>score(B!A4,B!B4,B!C4,B!D4,B!E4,B!F4,B!G4)</f>
        <v>3.5652231974642525</v>
      </c>
      <c r="C4">
        <f>score('C'!A4,'C'!B4,'C'!C4,'C'!D4,'C'!E4,'C'!F4,'C'!G4)</f>
        <v>1.4511764041326058</v>
      </c>
      <c r="D4">
        <f>score(D!A4,D!B4,D!C4,D!D4,D!E4,D!F4,D!G4)</f>
        <v>2.0626346260137094</v>
      </c>
      <c r="E4">
        <f>score(E!A4,E!B4,E!C4,E!D4,E!E4,E!F4,E!G4)</f>
        <v>2.3830842793352702</v>
      </c>
    </row>
    <row r="5" spans="1:5" x14ac:dyDescent="0.25">
      <c r="A5">
        <f>score(A!A5,A!B5,A!C5,A!D5,A!E5,A!F5,A!G5)</f>
        <v>5.4192872754814472</v>
      </c>
      <c r="B5">
        <f>score(B!A5,B!B5,B!C5,B!D5,B!E5,B!F5,B!G5)</f>
        <v>-0.36182077860307349</v>
      </c>
      <c r="C5">
        <f>score('C'!A5,'C'!B5,'C'!C5,'C'!D5,'C'!E5,'C'!F5,'C'!G5)</f>
        <v>2.9527612432662238</v>
      </c>
      <c r="D5">
        <f>score(D!A5,D!B5,D!C5,D!D5,D!E5,D!F5,D!G5)</f>
        <v>1.8341424759024119</v>
      </c>
      <c r="E5">
        <f>score(E!A5,E!B5,E!C5,E!D5,E!E5,E!F5,E!G5)</f>
        <v>1.9260387490340214</v>
      </c>
    </row>
    <row r="6" spans="1:5" x14ac:dyDescent="0.25">
      <c r="A6">
        <f>score(A!A6,A!B6,A!C6,A!D6,A!E6,A!F6,A!G6)</f>
        <v>3.4672294700908632</v>
      </c>
      <c r="B6">
        <f>score(B!A6,B!B6,B!C6,B!D6,B!E6,B!F6,B!G6)</f>
        <v>0.27851368457977776</v>
      </c>
      <c r="C6">
        <f>score('C'!A6,'C'!B6,'C'!C6,'C'!D6,'C'!E6,'C'!F6,'C'!G6)</f>
        <v>3.6642277796275926</v>
      </c>
      <c r="D6">
        <f>score(D!A6,D!B6,D!C6,D!D6,D!E6,D!F6,D!G6)</f>
        <v>2.3077932495717843</v>
      </c>
      <c r="E6">
        <f>score(E!A6,E!B6,E!C6,E!D6,E!E6,E!F6,E!G6)</f>
        <v>3.0554436905480218</v>
      </c>
    </row>
    <row r="7" spans="1:5" x14ac:dyDescent="0.25">
      <c r="A7">
        <f>score(A!A7,A!B7,A!C7,A!D7,A!E7,A!F7,A!G7)</f>
        <v>2.4969500217324478</v>
      </c>
      <c r="B7">
        <f>score(B!A7,B!B7,B!C7,B!D7,B!E7,B!F7,B!G7)</f>
        <v>2.8743009417861618</v>
      </c>
      <c r="C7">
        <f>score('C'!A7,'C'!B7,'C'!C7,'C'!D7,'C'!E7,'C'!F7,'C'!G7)</f>
        <v>3.6008047670124168</v>
      </c>
      <c r="D7">
        <f>score(D!A7,D!B7,D!C7,D!D7,D!E7,D!F7,D!G7)</f>
        <v>1.5192087168496207</v>
      </c>
      <c r="E7">
        <f>score(E!A7,E!B7,E!C7,E!D7,E!E7,E!F7,E!G7)</f>
        <v>4.7247464392476637</v>
      </c>
    </row>
    <row r="8" spans="1:5" x14ac:dyDescent="0.25">
      <c r="A8">
        <f>score(A!A8,A!B8,A!C8,A!D8,A!E8,A!F8,A!G8)</f>
        <v>2.1065974017431408</v>
      </c>
      <c r="B8">
        <f>score(B!A8,B!B8,B!C8,B!D8,B!E8,B!F8,B!G8)</f>
        <v>4.3861017546052752</v>
      </c>
      <c r="C8">
        <f>score('C'!A8,'C'!B8,'C'!C8,'C'!D8,'C'!E8,'C'!F8,'C'!G8)</f>
        <v>1.2714110296843359</v>
      </c>
      <c r="D8">
        <f>score(D!A8,D!B8,D!C8,D!D8,D!E8,D!F8,D!G8)</f>
        <v>4.7233610434768831</v>
      </c>
      <c r="E8">
        <f>score(E!A8,E!B8,E!C8,E!D8,E!E8,E!F8,E!G8)</f>
        <v>0.95832447319648262</v>
      </c>
    </row>
    <row r="9" spans="1:5" x14ac:dyDescent="0.25">
      <c r="A9">
        <f>score(A!A9,A!B9,A!C9,A!D9,A!E9,A!F9,A!G9)</f>
        <v>1.352026321079477</v>
      </c>
      <c r="B9">
        <f>score(B!A9,B!B9,B!C9,B!D9,B!E9,B!F9,B!G9)</f>
        <v>3.0959086029659648</v>
      </c>
      <c r="C9">
        <f>score('C'!A9,'C'!B9,'C'!C9,'C'!D9,'C'!E9,'C'!F9,'C'!G9)</f>
        <v>4.1120273768929883</v>
      </c>
      <c r="D9">
        <f>score(D!A9,D!B9,D!C9,D!D9,D!E9,D!F9,D!G9)</f>
        <v>0.32120544608455637</v>
      </c>
      <c r="E9">
        <f>score(E!A9,E!B9,E!C9,E!D9,E!E9,E!F9,E!G9)</f>
        <v>2.1409314298837483</v>
      </c>
    </row>
    <row r="10" spans="1:5" x14ac:dyDescent="0.25">
      <c r="A10">
        <f>score(A!A10,A!B10,A!C10,A!D10,A!E10,A!F10,A!G10)</f>
        <v>1.9715535376170539</v>
      </c>
      <c r="B10">
        <f>score(B!A10,B!B10,B!C10,B!D10,B!E10,B!F10,B!G10)</f>
        <v>4.418001500985012</v>
      </c>
      <c r="C10">
        <f>score('C'!A10,'C'!B10,'C'!C10,'C'!D10,'C'!E10,'C'!F10,'C'!G10)</f>
        <v>1.9469759974911802</v>
      </c>
      <c r="D10">
        <f>score(D!A10,D!B10,D!C10,D!D10,D!E10,D!F10,D!G10)</f>
        <v>3.4297470434034913</v>
      </c>
      <c r="E10">
        <f>score(E!A10,E!B10,E!C10,E!D10,E!E10,E!F10,E!G10)</f>
        <v>3.6481288120937547</v>
      </c>
    </row>
    <row r="11" spans="1:5" x14ac:dyDescent="0.25">
      <c r="A11">
        <f>score(A!A11,A!B11,A!C11,A!D11,A!E11,A!F11,A!G11)</f>
        <v>4.1230445131669917</v>
      </c>
      <c r="B11">
        <f>score(B!A11,B!B11,B!C11,B!D11,B!E11,B!F11,B!G11)</f>
        <v>2.1980203757624532</v>
      </c>
      <c r="C11">
        <f>score('C'!A11,'C'!B11,'C'!C11,'C'!D11,'C'!E11,'C'!F11,'C'!G11)</f>
        <v>1.811143808876218</v>
      </c>
      <c r="D11">
        <f>score(D!A11,D!B11,D!C11,D!D11,D!E11,D!F11,D!G11)</f>
        <v>2.8166187203413471</v>
      </c>
      <c r="E11">
        <f>score(E!A11,E!B11,E!C11,E!D11,E!E11,E!F11,E!G11)</f>
        <v>1.3651109221808679</v>
      </c>
    </row>
    <row r="12" spans="1:5" x14ac:dyDescent="0.25">
      <c r="A12">
        <f>score(A!A12,A!B12,A!C12,A!D12,A!E12,A!F12,A!G12)</f>
        <v>0.68745299725557452</v>
      </c>
      <c r="B12">
        <f>score(B!A12,B!B12,B!C12,B!D12,B!E12,B!F12,B!G12)</f>
        <v>3.1656269028799993</v>
      </c>
      <c r="C12">
        <f>score('C'!A12,'C'!B12,'C'!C12,'C'!D12,'C'!E12,'C'!F12,'C'!G12)</f>
        <v>2.334715547893206</v>
      </c>
      <c r="D12">
        <f>score(D!A12,D!B12,D!C12,D!D12,D!E12,D!F12,D!G12)</f>
        <v>3.2431462536363722</v>
      </c>
      <c r="E12">
        <f>score(E!A12,E!B12,E!C12,E!D12,E!E12,E!F12,E!G12)</f>
        <v>4.3085418899048795</v>
      </c>
    </row>
    <row r="13" spans="1:5" x14ac:dyDescent="0.25">
      <c r="A13">
        <f>score(A!A13,A!B13,A!C13,A!D13,A!E13,A!F13,A!G13)</f>
        <v>1.7693205778630283</v>
      </c>
      <c r="B13">
        <f>score(B!A13,B!B13,B!C13,B!D13,B!E13,B!F13,B!G13)</f>
        <v>4.7870490150188196</v>
      </c>
      <c r="C13">
        <f>score('C'!A13,'C'!B13,'C'!C13,'C'!D13,'C'!E13,'C'!F13,'C'!G13)</f>
        <v>1.0297422458274885</v>
      </c>
      <c r="D13">
        <f>score(D!A13,D!B13,D!C13,D!D13,D!E13,D!F13,D!G13)</f>
        <v>0.52165808653695744</v>
      </c>
      <c r="E13">
        <f>score(E!A13,E!B13,E!C13,E!D13,E!E13,E!F13,E!G13)</f>
        <v>2.1049708039981683</v>
      </c>
    </row>
    <row r="14" spans="1:5" x14ac:dyDescent="0.25">
      <c r="A14">
        <f>score(A!A14,A!B14,A!C14,A!D14,A!E14,A!F14,A!G14)</f>
        <v>1.1813897705145358</v>
      </c>
      <c r="B14">
        <f>score(B!A14,B!B14,B!C14,B!D14,B!E14,B!F14,B!G14)</f>
        <v>1.779422605881855</v>
      </c>
      <c r="C14">
        <f>score('C'!A14,'C'!B14,'C'!C14,'C'!D14,'C'!E14,'C'!F14,'C'!G14)</f>
        <v>4.1155364104236849</v>
      </c>
      <c r="D14">
        <f>score(D!A14,D!B14,D!C14,D!D14,D!E14,D!F14,D!G14)</f>
        <v>2.2176795695351146</v>
      </c>
      <c r="E14">
        <f>score(E!A14,E!B14,E!C14,E!D14,E!E14,E!F14,E!G14)</f>
        <v>0.28634782144339632</v>
      </c>
    </row>
    <row r="15" spans="1:5" x14ac:dyDescent="0.25">
      <c r="A15">
        <f>score(A!A15,A!B15,A!C15,A!D15,A!E15,A!F15,A!G15)</f>
        <v>0.67225230100045819</v>
      </c>
      <c r="B15">
        <f>score(B!A15,B!B15,B!C15,B!D15,B!E15,B!F15,B!G15)</f>
        <v>2.1461522138097835</v>
      </c>
      <c r="C15">
        <f>score('C'!A15,'C'!B15,'C'!C15,'C'!D15,'C'!E15,'C'!F15,'C'!G15)</f>
        <v>2.4772210286075791</v>
      </c>
      <c r="D15">
        <f>score(D!A15,D!B15,D!C15,D!D15,D!E15,D!F15,D!G15)</f>
        <v>1.643455818294256</v>
      </c>
      <c r="E15">
        <f>score(E!A15,E!B15,E!C15,E!D15,E!E15,E!F15,E!G15)</f>
        <v>4.4920772736349264</v>
      </c>
    </row>
    <row r="16" spans="1:5" x14ac:dyDescent="0.25">
      <c r="A16">
        <f>score(A!A16,A!B16,A!C16,A!D16,A!E16,A!F16,A!G16)</f>
        <v>2.7409627818064171</v>
      </c>
      <c r="B16">
        <f>score(B!A16,B!B16,B!C16,B!D16,B!E16,B!F16,B!G16)</f>
        <v>3.6417554704447808</v>
      </c>
      <c r="C16">
        <f>score('C'!A16,'C'!B16,'C'!C16,'C'!D16,'C'!E16,'C'!F16,'C'!G16)</f>
        <v>3.2721716221007062</v>
      </c>
      <c r="D16">
        <f>score(D!A16,D!B16,D!C16,D!D16,D!E16,D!F16,D!G16)</f>
        <v>3.9256741578419745</v>
      </c>
      <c r="E16">
        <f>score(E!A16,E!B16,E!C16,E!D16,E!E16,E!F16,E!G16)</f>
        <v>2.9552920128472153</v>
      </c>
    </row>
    <row r="17" spans="1:5" x14ac:dyDescent="0.25">
      <c r="A17">
        <f>score(A!A17,A!B17,A!C17,A!D17,A!E17,A!F17,A!G17)</f>
        <v>2.9628114092384465</v>
      </c>
      <c r="B17">
        <f>score(B!A17,B!B17,B!C17,B!D17,B!E17,B!F17,B!G17)</f>
        <v>0.92058455878652834</v>
      </c>
      <c r="C17">
        <f>score('C'!A17,'C'!B17,'C'!C17,'C'!D17,'C'!E17,'C'!F17,'C'!G17)</f>
        <v>-0.84737226072129035</v>
      </c>
      <c r="D17">
        <f>score(D!A17,D!B17,D!C17,D!D17,D!E17,D!F17,D!G17)</f>
        <v>5.4616179321218636</v>
      </c>
      <c r="E17">
        <f>score(E!A17,E!B17,E!C17,E!D17,E!E17,E!F17,E!G17)</f>
        <v>3.0442208794755539</v>
      </c>
    </row>
    <row r="18" spans="1:5" x14ac:dyDescent="0.25">
      <c r="A18">
        <f>score(A!A18,A!B18,A!C18,A!D18,A!E18,A!F18,A!G18)</f>
        <v>3.5286206172189392</v>
      </c>
      <c r="B18">
        <f>score(B!A18,B!B18,B!C18,B!D18,B!E18,B!F18,B!G18)</f>
        <v>2.7479305292058758</v>
      </c>
      <c r="C18">
        <f>score('C'!A18,'C'!B18,'C'!C18,'C'!D18,'C'!E18,'C'!F18,'C'!G18)</f>
        <v>5.2657809269204519</v>
      </c>
      <c r="D18">
        <f>score(D!A18,D!B18,D!C18,D!D18,D!E18,D!F18,D!G18)</f>
        <v>3.2767208417929541</v>
      </c>
      <c r="E18">
        <f>score(E!A18,E!B18,E!C18,E!D18,E!E18,E!F18,E!G18)</f>
        <v>1.1484423052098423</v>
      </c>
    </row>
    <row r="19" spans="1:5" x14ac:dyDescent="0.25">
      <c r="A19">
        <f>score(A!A19,A!B19,A!C19,A!D19,A!E19,A!F19,A!G19)</f>
        <v>1.9019956661183672</v>
      </c>
      <c r="B19">
        <f>score(B!A19,B!B19,B!C19,B!D19,B!E19,B!F19,B!G19)</f>
        <v>1.0453682153318928</v>
      </c>
      <c r="C19">
        <f>score('C'!A19,'C'!B19,'C'!C19,'C'!D19,'C'!E19,'C'!F19,'C'!G19)</f>
        <v>3.4142665350455639</v>
      </c>
      <c r="D19">
        <f>score(D!A19,D!B19,D!C19,D!D19,D!E19,D!F19,D!G19)</f>
        <v>1.4487523689651362E-2</v>
      </c>
      <c r="E19">
        <f>score(E!A19,E!B19,E!C19,E!D19,E!E19,E!F19,E!G19)</f>
        <v>1.8822647010704068</v>
      </c>
    </row>
    <row r="20" spans="1:5" x14ac:dyDescent="0.25">
      <c r="A20">
        <f>score(A!A20,A!B20,A!C20,A!D20,A!E20,A!F20,A!G20)</f>
        <v>3.1514402150388876</v>
      </c>
      <c r="B20">
        <f>score(B!A20,B!B20,B!C20,B!D20,B!E20,B!F20,B!G20)</f>
        <v>4.5444856009559746</v>
      </c>
      <c r="C20">
        <f>score('C'!A20,'C'!B20,'C'!C20,'C'!D20,'C'!E20,'C'!F20,'C'!G20)</f>
        <v>1.4701666042188455</v>
      </c>
      <c r="D20">
        <f>score(D!A20,D!B20,D!C20,D!D20,D!E20,D!F20,D!G20)</f>
        <v>4.8117166849142325</v>
      </c>
      <c r="E20">
        <f>score(E!A20,E!B20,E!C20,E!D20,E!E20,E!F20,E!G20)</f>
        <v>2.0136186252210755</v>
      </c>
    </row>
    <row r="21" spans="1:5" x14ac:dyDescent="0.25">
      <c r="A21">
        <f>score(A!A21,A!B21,A!C21,A!D21,A!E21,A!F21,A!G21)</f>
        <v>0.45246067042608756</v>
      </c>
      <c r="B21">
        <f>score(B!A21,B!B21,B!C21,B!D21,B!E21,B!F21,B!G21)</f>
        <v>2.5016483353282704</v>
      </c>
      <c r="C21">
        <f>score('C'!A21,'C'!B21,'C'!C21,'C'!D21,'C'!E21,'C'!F21,'C'!G21)</f>
        <v>3.3947584178554155</v>
      </c>
      <c r="D21">
        <f>score(D!A21,D!B21,D!C21,D!D21,D!E21,D!F21,D!G21)</f>
        <v>0.47210265997456147</v>
      </c>
      <c r="E21">
        <f>score(E!A21,E!B21,E!C21,E!D21,E!E21,E!F21,E!G21)</f>
        <v>2.0531032620885483</v>
      </c>
    </row>
  </sheetData>
  <conditionalFormatting sqref="A1:E21">
    <cfRule type="colorScale" priority="3">
      <colorScale>
        <cfvo type="num" val="1.81"/>
        <cfvo type="num" val="2.4"/>
        <cfvo type="num" val="2.99"/>
        <color rgb="FFF8696B"/>
        <color rgb="FFFFEB84"/>
        <color rgb="FF63BE7B"/>
      </colorScale>
    </cfRule>
  </conditionalFormatting>
  <conditionalFormatting sqref="H9">
    <cfRule type="colorScale" priority="1">
      <colorScale>
        <cfvo type="num" val="&quot;1.81&quot;"/>
        <cfvo type="num" val="&quot;2.4&quot;"/>
        <cfvo type="num" val="&quot;2.99&quot;"/>
        <color rgb="FFFF0000"/>
        <color rgb="FFFFFF00"/>
        <color rgb="FF00B050"/>
      </colorScale>
    </cfRule>
    <cfRule type="colorScale" priority="2">
      <colorScale>
        <cfvo type="num" val="1.81"/>
        <cfvo type="num" val="2.4"/>
        <cfvo type="num" val="2.99"/>
        <color rgb="FFFF0000"/>
        <color theme="6"/>
        <color rgb="FF00B050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Q22"/>
  <sheetViews>
    <sheetView workbookViewId="0">
      <selection activeCell="F25" sqref="F25"/>
    </sheetView>
  </sheetViews>
  <sheetFormatPr baseColWidth="10" defaultRowHeight="15" x14ac:dyDescent="0.25"/>
  <cols>
    <col min="13" max="13" width="17.28515625" customWidth="1"/>
    <col min="16" max="16" width="20" customWidth="1"/>
  </cols>
  <sheetData>
    <row r="1" spans="1:17" x14ac:dyDescent="0.25">
      <c r="A1" s="7" t="s">
        <v>22</v>
      </c>
      <c r="B1" s="7"/>
      <c r="C1" s="7"/>
      <c r="D1" s="7"/>
      <c r="E1" s="7"/>
      <c r="G1" s="7" t="s">
        <v>21</v>
      </c>
      <c r="H1" s="7"/>
      <c r="I1" s="7"/>
      <c r="J1" s="7"/>
      <c r="K1" s="7"/>
      <c r="M1" s="4" t="s">
        <v>23</v>
      </c>
      <c r="N1" s="3"/>
      <c r="O1" s="3"/>
      <c r="P1" s="3"/>
    </row>
    <row r="2" spans="1:17" x14ac:dyDescent="0.25">
      <c r="A2" t="s">
        <v>12</v>
      </c>
      <c r="B2" t="s">
        <v>13</v>
      </c>
      <c r="C2" t="s">
        <v>14</v>
      </c>
      <c r="D2" t="s">
        <v>15</v>
      </c>
      <c r="E2" t="s">
        <v>16</v>
      </c>
      <c r="G2" t="s">
        <v>7</v>
      </c>
      <c r="H2" t="s">
        <v>8</v>
      </c>
      <c r="I2" t="s">
        <v>9</v>
      </c>
      <c r="J2" t="s">
        <v>10</v>
      </c>
      <c r="K2" t="s">
        <v>17</v>
      </c>
      <c r="M2" s="3" t="s">
        <v>7</v>
      </c>
      <c r="N2" t="s">
        <v>8</v>
      </c>
      <c r="O2" t="s">
        <v>9</v>
      </c>
      <c r="P2" t="s">
        <v>10</v>
      </c>
      <c r="Q2" t="s">
        <v>17</v>
      </c>
    </row>
    <row r="3" spans="1:17" x14ac:dyDescent="0.25">
      <c r="A3" s="2">
        <v>3.7256642361207701</v>
      </c>
      <c r="B3">
        <v>2.4137013045098472</v>
      </c>
      <c r="C3">
        <v>2.9483925803838336</v>
      </c>
      <c r="D3">
        <v>4.1739169840517194</v>
      </c>
      <c r="E3">
        <v>1.9832099234295399</v>
      </c>
      <c r="G3" t="str">
        <f>Ismael(A3)</f>
        <v>Accepté</v>
      </c>
      <c r="H3" t="str">
        <f>Ismael(B3)</f>
        <v>Incertitude</v>
      </c>
      <c r="I3" t="str">
        <f>Ismael(C3)</f>
        <v>Incertitude</v>
      </c>
      <c r="J3" t="str">
        <f>Ismael(D3)</f>
        <v>Accepté</v>
      </c>
      <c r="K3" t="str">
        <f>Ismael(E3)</f>
        <v>Incertitude</v>
      </c>
      <c r="M3" t="str">
        <f>Amsatou(A3)</f>
        <v>0</v>
      </c>
      <c r="N3" t="str">
        <f>Amsatou(B3)</f>
        <v>Incertitude</v>
      </c>
      <c r="O3" t="str">
        <f>Amsatou(C3)</f>
        <v>Incertitude</v>
      </c>
      <c r="P3" t="str">
        <f>Amsatou(D3)</f>
        <v>0</v>
      </c>
      <c r="Q3" t="str">
        <f>Amsatou(E3)</f>
        <v>Incertitude</v>
      </c>
    </row>
    <row r="4" spans="1:17" x14ac:dyDescent="0.25">
      <c r="A4">
        <v>2.022815501124966</v>
      </c>
      <c r="B4">
        <v>2.8205031348194871</v>
      </c>
      <c r="C4">
        <v>2.7667081584741609</v>
      </c>
      <c r="D4">
        <v>2.0759504603947008</v>
      </c>
      <c r="E4">
        <v>1.8710779651298028</v>
      </c>
      <c r="G4" t="str">
        <f t="shared" ref="G4:K22" si="0">Ismael(A4)</f>
        <v>Incertitude</v>
      </c>
      <c r="H4" t="str">
        <f t="shared" ref="H4:H18" si="1">Ismael(B4)</f>
        <v>Incertitude</v>
      </c>
      <c r="I4" t="str">
        <f t="shared" ref="I4:I18" si="2">Ismael(C4)</f>
        <v>Incertitude</v>
      </c>
      <c r="J4" t="str">
        <f>Ismael(D4)</f>
        <v>Incertitude</v>
      </c>
      <c r="K4" t="str">
        <f t="shared" ref="K4:K18" si="3">Ismael(E4)</f>
        <v>Incertitude</v>
      </c>
      <c r="M4" t="str">
        <f t="shared" ref="M4:M22" si="4">Amsatou(A4)</f>
        <v>Incertitude</v>
      </c>
      <c r="N4" t="str">
        <f t="shared" ref="N4:N22" si="5">Amsatou(B4)</f>
        <v>Incertitude</v>
      </c>
      <c r="O4" t="str">
        <f t="shared" ref="O4:O22" si="6">Amsatou(C4)</f>
        <v>Incertitude</v>
      </c>
      <c r="P4" t="str">
        <f t="shared" ref="P4:P22" si="7">Amsatou(D4)</f>
        <v>Incertitude</v>
      </c>
      <c r="Q4" t="str">
        <f t="shared" ref="Q4:Q22" si="8">Amsatou(E4)</f>
        <v>Incertitude</v>
      </c>
    </row>
    <row r="5" spans="1:17" x14ac:dyDescent="0.25">
      <c r="A5">
        <v>1.0524954658230352</v>
      </c>
      <c r="B5">
        <v>3.5652231974642525</v>
      </c>
      <c r="C5">
        <v>1.4511764041326058</v>
      </c>
      <c r="D5">
        <v>2.0626346260137094</v>
      </c>
      <c r="E5">
        <v>2.3830842793352702</v>
      </c>
      <c r="G5" t="str">
        <f>Ismael(A5)</f>
        <v>Rejetée</v>
      </c>
      <c r="H5" t="str">
        <f t="shared" si="1"/>
        <v>Accepté</v>
      </c>
      <c r="I5" t="str">
        <f t="shared" si="2"/>
        <v>Rejetée</v>
      </c>
      <c r="J5" t="str">
        <f t="shared" ref="J5:J18" si="9">Ismael(D5)</f>
        <v>Incertitude</v>
      </c>
      <c r="K5" t="str">
        <f t="shared" si="3"/>
        <v>Incertitude</v>
      </c>
      <c r="M5" t="str">
        <f t="shared" si="4"/>
        <v>0</v>
      </c>
      <c r="N5" t="str">
        <f t="shared" si="5"/>
        <v>0</v>
      </c>
      <c r="O5" t="str">
        <f t="shared" si="6"/>
        <v>0</v>
      </c>
      <c r="P5" t="str">
        <f t="shared" si="7"/>
        <v>Incertitude</v>
      </c>
      <c r="Q5" t="str">
        <f t="shared" si="8"/>
        <v>Incertitude</v>
      </c>
    </row>
    <row r="6" spans="1:17" x14ac:dyDescent="0.25">
      <c r="A6" s="2">
        <v>5.4192872754814472</v>
      </c>
      <c r="B6">
        <v>-0.36182077860307349</v>
      </c>
      <c r="C6">
        <v>2.9527612432662238</v>
      </c>
      <c r="D6">
        <v>1.8341424759024119</v>
      </c>
      <c r="E6">
        <v>1.9260387490340214</v>
      </c>
      <c r="G6" t="str">
        <f t="shared" si="0"/>
        <v>Accepté</v>
      </c>
      <c r="H6" t="str">
        <f t="shared" si="1"/>
        <v>Rejetée</v>
      </c>
      <c r="I6" t="str">
        <f t="shared" si="2"/>
        <v>Incertitude</v>
      </c>
      <c r="J6" t="str">
        <f t="shared" si="9"/>
        <v>Incertitude</v>
      </c>
      <c r="K6" t="str">
        <f t="shared" si="3"/>
        <v>Incertitude</v>
      </c>
      <c r="M6" t="str">
        <f t="shared" si="4"/>
        <v>0</v>
      </c>
      <c r="N6" t="str">
        <f t="shared" si="5"/>
        <v>0</v>
      </c>
      <c r="O6" t="str">
        <f t="shared" si="6"/>
        <v>Incertitude</v>
      </c>
      <c r="P6" t="str">
        <f t="shared" si="7"/>
        <v>Incertitude</v>
      </c>
      <c r="Q6" t="str">
        <f t="shared" si="8"/>
        <v>Incertitude</v>
      </c>
    </row>
    <row r="7" spans="1:17" x14ac:dyDescent="0.25">
      <c r="A7" s="2">
        <v>3.4672294700908632</v>
      </c>
      <c r="B7">
        <v>0.27851368457977776</v>
      </c>
      <c r="C7">
        <v>3.6642277796275926</v>
      </c>
      <c r="D7">
        <v>2.3077932495717843</v>
      </c>
      <c r="E7">
        <v>3.0554436905480218</v>
      </c>
      <c r="G7" t="str">
        <f t="shared" si="0"/>
        <v>Accepté</v>
      </c>
      <c r="H7" t="str">
        <f t="shared" si="1"/>
        <v>Rejetée</v>
      </c>
      <c r="I7" t="str">
        <f t="shared" si="2"/>
        <v>Accepté</v>
      </c>
      <c r="J7" t="str">
        <f t="shared" si="9"/>
        <v>Incertitude</v>
      </c>
      <c r="K7" t="str">
        <f t="shared" si="3"/>
        <v>Accepté</v>
      </c>
      <c r="M7" t="str">
        <f t="shared" si="4"/>
        <v>0</v>
      </c>
      <c r="N7" t="str">
        <f t="shared" si="5"/>
        <v>0</v>
      </c>
      <c r="O7" t="str">
        <f t="shared" si="6"/>
        <v>0</v>
      </c>
      <c r="P7" t="str">
        <f t="shared" si="7"/>
        <v>Incertitude</v>
      </c>
      <c r="Q7" t="str">
        <f t="shared" si="8"/>
        <v>0</v>
      </c>
    </row>
    <row r="8" spans="1:17" x14ac:dyDescent="0.25">
      <c r="A8">
        <v>2.4969500217324478</v>
      </c>
      <c r="B8">
        <v>2.8743009417861618</v>
      </c>
      <c r="C8">
        <v>3.6008047670124168</v>
      </c>
      <c r="D8">
        <v>1.5192087168496207</v>
      </c>
      <c r="E8">
        <v>4.7247464392476637</v>
      </c>
      <c r="G8" t="str">
        <f t="shared" si="0"/>
        <v>Incertitude</v>
      </c>
      <c r="H8" t="str">
        <f t="shared" si="1"/>
        <v>Incertitude</v>
      </c>
      <c r="I8" t="str">
        <f t="shared" si="2"/>
        <v>Accepté</v>
      </c>
      <c r="J8" t="str">
        <f t="shared" si="9"/>
        <v>Rejetée</v>
      </c>
      <c r="K8" t="str">
        <f t="shared" si="3"/>
        <v>Accepté</v>
      </c>
      <c r="M8" t="str">
        <f t="shared" si="4"/>
        <v>Incertitude</v>
      </c>
      <c r="N8" t="str">
        <f t="shared" si="5"/>
        <v>Incertitude</v>
      </c>
      <c r="O8" t="str">
        <f t="shared" si="6"/>
        <v>0</v>
      </c>
      <c r="P8" t="str">
        <f t="shared" si="7"/>
        <v>0</v>
      </c>
      <c r="Q8" t="str">
        <f t="shared" si="8"/>
        <v>0</v>
      </c>
    </row>
    <row r="9" spans="1:17" x14ac:dyDescent="0.25">
      <c r="A9">
        <v>2.5531636791847845</v>
      </c>
      <c r="B9">
        <v>4.3861017546052752</v>
      </c>
      <c r="C9">
        <v>1.2714110296843359</v>
      </c>
      <c r="D9">
        <v>4.7233610434768831</v>
      </c>
      <c r="E9">
        <v>0.95832447319648262</v>
      </c>
      <c r="G9" t="str">
        <f t="shared" si="0"/>
        <v>Incertitude</v>
      </c>
      <c r="H9" t="str">
        <f t="shared" si="1"/>
        <v>Accepté</v>
      </c>
      <c r="I9" t="str">
        <f t="shared" si="2"/>
        <v>Rejetée</v>
      </c>
      <c r="J9" t="str">
        <f t="shared" si="9"/>
        <v>Accepté</v>
      </c>
      <c r="K9" t="str">
        <f t="shared" si="3"/>
        <v>Rejetée</v>
      </c>
      <c r="M9" t="str">
        <f t="shared" si="4"/>
        <v>Incertitude</v>
      </c>
      <c r="N9" t="str">
        <f t="shared" si="5"/>
        <v>0</v>
      </c>
      <c r="O9" t="str">
        <f t="shared" si="6"/>
        <v>0</v>
      </c>
      <c r="P9" t="str">
        <f t="shared" si="7"/>
        <v>0</v>
      </c>
      <c r="Q9" t="str">
        <f t="shared" si="8"/>
        <v>0</v>
      </c>
    </row>
    <row r="10" spans="1:17" x14ac:dyDescent="0.25">
      <c r="A10">
        <v>1.352026321079477</v>
      </c>
      <c r="B10">
        <v>3.0959086029659648</v>
      </c>
      <c r="C10">
        <v>4.1120273768929883</v>
      </c>
      <c r="D10">
        <v>0.32120544608455637</v>
      </c>
      <c r="E10">
        <v>2.1409314298837483</v>
      </c>
      <c r="G10" t="str">
        <f t="shared" si="0"/>
        <v>Rejetée</v>
      </c>
      <c r="H10" t="str">
        <f t="shared" si="1"/>
        <v>Accepté</v>
      </c>
      <c r="I10" t="str">
        <f t="shared" si="2"/>
        <v>Accepté</v>
      </c>
      <c r="J10" t="str">
        <f t="shared" si="9"/>
        <v>Rejetée</v>
      </c>
      <c r="K10" t="str">
        <f t="shared" si="3"/>
        <v>Incertitude</v>
      </c>
      <c r="M10" t="str">
        <f t="shared" si="4"/>
        <v>0</v>
      </c>
      <c r="N10" t="str">
        <f t="shared" si="5"/>
        <v>0</v>
      </c>
      <c r="O10" t="str">
        <f t="shared" si="6"/>
        <v>0</v>
      </c>
      <c r="P10" t="str">
        <f t="shared" si="7"/>
        <v>0</v>
      </c>
      <c r="Q10" t="str">
        <f t="shared" si="8"/>
        <v>Incertitude</v>
      </c>
    </row>
    <row r="11" spans="1:17" x14ac:dyDescent="0.25">
      <c r="A11">
        <v>1.9715535376170539</v>
      </c>
      <c r="B11">
        <v>4.418001500985012</v>
      </c>
      <c r="C11">
        <v>1.9469759974911802</v>
      </c>
      <c r="D11">
        <v>3.4297470434034913</v>
      </c>
      <c r="E11">
        <v>3.6481288120937547</v>
      </c>
      <c r="G11" t="str">
        <f t="shared" si="0"/>
        <v>Incertitude</v>
      </c>
      <c r="H11" t="str">
        <f t="shared" si="1"/>
        <v>Accepté</v>
      </c>
      <c r="I11" t="str">
        <f>Ismael(C11)</f>
        <v>Incertitude</v>
      </c>
      <c r="J11" t="str">
        <f t="shared" si="9"/>
        <v>Accepté</v>
      </c>
      <c r="K11" t="str">
        <f t="shared" si="3"/>
        <v>Accepté</v>
      </c>
      <c r="M11" t="str">
        <f t="shared" si="4"/>
        <v>Incertitude</v>
      </c>
      <c r="N11" t="str">
        <f t="shared" si="5"/>
        <v>0</v>
      </c>
      <c r="O11" t="str">
        <f t="shared" si="6"/>
        <v>Incertitude</v>
      </c>
      <c r="P11" t="str">
        <f t="shared" si="7"/>
        <v>0</v>
      </c>
      <c r="Q11" t="str">
        <f t="shared" si="8"/>
        <v>0</v>
      </c>
    </row>
    <row r="12" spans="1:17" x14ac:dyDescent="0.25">
      <c r="A12" s="2">
        <v>4.1230445131669917</v>
      </c>
      <c r="B12">
        <v>2.1980203757624532</v>
      </c>
      <c r="C12">
        <v>1.811143808876218</v>
      </c>
      <c r="D12">
        <v>2.8166187203413471</v>
      </c>
      <c r="E12">
        <v>1.3651109221808679</v>
      </c>
      <c r="G12" t="str">
        <f t="shared" si="0"/>
        <v>Accepté</v>
      </c>
      <c r="H12" t="str">
        <f t="shared" si="1"/>
        <v>Incertitude</v>
      </c>
      <c r="I12" t="str">
        <f t="shared" si="2"/>
        <v>Incertitude</v>
      </c>
      <c r="J12" t="str">
        <f t="shared" si="9"/>
        <v>Incertitude</v>
      </c>
      <c r="K12" t="str">
        <f t="shared" si="3"/>
        <v>Rejetée</v>
      </c>
      <c r="M12" t="str">
        <f t="shared" si="4"/>
        <v>0</v>
      </c>
      <c r="N12" t="str">
        <f t="shared" si="5"/>
        <v>Incertitude</v>
      </c>
      <c r="O12" t="str">
        <f t="shared" si="6"/>
        <v>Incertitude</v>
      </c>
      <c r="P12" t="str">
        <f t="shared" si="7"/>
        <v>Incertitude</v>
      </c>
      <c r="Q12" t="str">
        <f t="shared" si="8"/>
        <v>0</v>
      </c>
    </row>
    <row r="13" spans="1:17" x14ac:dyDescent="0.25">
      <c r="A13">
        <v>0.68745299725557452</v>
      </c>
      <c r="B13">
        <v>3.1656269028799993</v>
      </c>
      <c r="C13">
        <v>2.334715547893206</v>
      </c>
      <c r="D13">
        <v>3.2431462536363722</v>
      </c>
      <c r="E13">
        <v>4.3085418899048795</v>
      </c>
      <c r="G13" t="str">
        <f t="shared" si="0"/>
        <v>Rejetée</v>
      </c>
      <c r="H13" t="str">
        <f t="shared" si="1"/>
        <v>Accepté</v>
      </c>
      <c r="I13" t="str">
        <f t="shared" si="2"/>
        <v>Incertitude</v>
      </c>
      <c r="J13" t="str">
        <f t="shared" si="9"/>
        <v>Accepté</v>
      </c>
      <c r="K13" t="str">
        <f t="shared" si="3"/>
        <v>Accepté</v>
      </c>
      <c r="M13" t="str">
        <f t="shared" si="4"/>
        <v>0</v>
      </c>
      <c r="N13" t="str">
        <f t="shared" si="5"/>
        <v>0</v>
      </c>
      <c r="O13" t="str">
        <f t="shared" si="6"/>
        <v>Incertitude</v>
      </c>
      <c r="P13" t="str">
        <f t="shared" si="7"/>
        <v>0</v>
      </c>
      <c r="Q13" t="str">
        <f t="shared" si="8"/>
        <v>0</v>
      </c>
    </row>
    <row r="14" spans="1:17" x14ac:dyDescent="0.25">
      <c r="A14">
        <v>1.7693205778630283</v>
      </c>
      <c r="B14">
        <v>4.7870490150188196</v>
      </c>
      <c r="C14">
        <v>1.0297422458274885</v>
      </c>
      <c r="D14">
        <v>0.52165808653695744</v>
      </c>
      <c r="E14">
        <v>2.1049708039981683</v>
      </c>
      <c r="G14" t="str">
        <f t="shared" si="0"/>
        <v>Rejetée</v>
      </c>
      <c r="H14" t="str">
        <f t="shared" si="1"/>
        <v>Accepté</v>
      </c>
      <c r="I14" t="str">
        <f t="shared" si="2"/>
        <v>Rejetée</v>
      </c>
      <c r="J14" t="str">
        <f t="shared" si="9"/>
        <v>Rejetée</v>
      </c>
      <c r="K14" t="str">
        <f t="shared" si="3"/>
        <v>Incertitude</v>
      </c>
      <c r="M14" t="str">
        <f t="shared" si="4"/>
        <v>0</v>
      </c>
      <c r="N14" t="str">
        <f t="shared" si="5"/>
        <v>0</v>
      </c>
      <c r="O14" t="str">
        <f t="shared" si="6"/>
        <v>0</v>
      </c>
      <c r="P14" t="str">
        <f t="shared" si="7"/>
        <v>0</v>
      </c>
      <c r="Q14" t="str">
        <f t="shared" si="8"/>
        <v>Incertitude</v>
      </c>
    </row>
    <row r="15" spans="1:17" x14ac:dyDescent="0.25">
      <c r="A15">
        <v>1.1813897705145358</v>
      </c>
      <c r="B15">
        <v>1.779422605881855</v>
      </c>
      <c r="C15">
        <v>4.1155364104236849</v>
      </c>
      <c r="D15">
        <v>2.2176795695351146</v>
      </c>
      <c r="E15">
        <v>0.28634782144339632</v>
      </c>
      <c r="G15" t="str">
        <f t="shared" si="0"/>
        <v>Rejetée</v>
      </c>
      <c r="H15" t="str">
        <f t="shared" si="1"/>
        <v>Rejetée</v>
      </c>
      <c r="I15" t="str">
        <f t="shared" si="2"/>
        <v>Accepté</v>
      </c>
      <c r="J15" t="str">
        <f t="shared" si="9"/>
        <v>Incertitude</v>
      </c>
      <c r="K15" t="str">
        <f t="shared" si="3"/>
        <v>Rejetée</v>
      </c>
      <c r="M15" t="str">
        <f t="shared" si="4"/>
        <v>0</v>
      </c>
      <c r="N15" t="str">
        <f t="shared" si="5"/>
        <v>0</v>
      </c>
      <c r="O15" t="str">
        <f t="shared" si="6"/>
        <v>0</v>
      </c>
      <c r="P15" t="str">
        <f t="shared" si="7"/>
        <v>Incertitude</v>
      </c>
      <c r="Q15" t="str">
        <f t="shared" si="8"/>
        <v>0</v>
      </c>
    </row>
    <row r="16" spans="1:17" x14ac:dyDescent="0.25">
      <c r="A16">
        <v>0.67225230100045819</v>
      </c>
      <c r="B16">
        <v>2.1461522138097835</v>
      </c>
      <c r="C16">
        <v>2.4772210286075791</v>
      </c>
      <c r="D16">
        <v>1.643455818294256</v>
      </c>
      <c r="E16">
        <v>4.4920772736349264</v>
      </c>
      <c r="G16" t="str">
        <f t="shared" si="0"/>
        <v>Rejetée</v>
      </c>
      <c r="H16" t="str">
        <f t="shared" si="1"/>
        <v>Incertitude</v>
      </c>
      <c r="I16" t="str">
        <f t="shared" si="2"/>
        <v>Incertitude</v>
      </c>
      <c r="J16" t="str">
        <f t="shared" si="9"/>
        <v>Rejetée</v>
      </c>
      <c r="K16" t="str">
        <f t="shared" si="3"/>
        <v>Accepté</v>
      </c>
      <c r="M16" t="str">
        <f t="shared" si="4"/>
        <v>0</v>
      </c>
      <c r="N16" t="str">
        <f t="shared" si="5"/>
        <v>Incertitude</v>
      </c>
      <c r="O16" t="str">
        <f t="shared" si="6"/>
        <v>Incertitude</v>
      </c>
      <c r="P16" t="str">
        <f t="shared" si="7"/>
        <v>0</v>
      </c>
      <c r="Q16" t="str">
        <f t="shared" si="8"/>
        <v>0</v>
      </c>
    </row>
    <row r="17" spans="1:17" x14ac:dyDescent="0.25">
      <c r="A17">
        <v>2.7409627818064171</v>
      </c>
      <c r="B17">
        <v>3.6417554704447808</v>
      </c>
      <c r="C17">
        <v>3.2721716221007062</v>
      </c>
      <c r="D17">
        <v>3.9256741578419745</v>
      </c>
      <c r="E17">
        <v>2.9552920128472153</v>
      </c>
      <c r="G17" t="str">
        <f t="shared" si="0"/>
        <v>Incertitude</v>
      </c>
      <c r="H17" t="str">
        <f t="shared" si="1"/>
        <v>Accepté</v>
      </c>
      <c r="I17" t="str">
        <f t="shared" si="2"/>
        <v>Accepté</v>
      </c>
      <c r="J17" t="str">
        <f t="shared" si="9"/>
        <v>Accepté</v>
      </c>
      <c r="K17" t="str">
        <f t="shared" si="3"/>
        <v>Incertitude</v>
      </c>
      <c r="M17" t="str">
        <f t="shared" si="4"/>
        <v>Incertitude</v>
      </c>
      <c r="N17" t="str">
        <f t="shared" si="5"/>
        <v>0</v>
      </c>
      <c r="O17" t="str">
        <f t="shared" si="6"/>
        <v>0</v>
      </c>
      <c r="P17" t="str">
        <f t="shared" si="7"/>
        <v>0</v>
      </c>
      <c r="Q17" t="str">
        <f t="shared" si="8"/>
        <v>Incertitude</v>
      </c>
    </row>
    <row r="18" spans="1:17" x14ac:dyDescent="0.25">
      <c r="A18">
        <v>2.9628114092384465</v>
      </c>
      <c r="B18">
        <v>0.92058455878652834</v>
      </c>
      <c r="C18">
        <v>-0.84737226072129035</v>
      </c>
      <c r="D18">
        <v>5.4616179321218636</v>
      </c>
      <c r="E18">
        <v>3.0442208794755539</v>
      </c>
      <c r="G18" t="str">
        <f t="shared" si="0"/>
        <v>Incertitude</v>
      </c>
      <c r="H18" t="str">
        <f t="shared" si="1"/>
        <v>Rejetée</v>
      </c>
      <c r="I18" t="str">
        <f t="shared" si="2"/>
        <v>Rejetée</v>
      </c>
      <c r="J18" t="str">
        <f t="shared" si="9"/>
        <v>Accepté</v>
      </c>
      <c r="K18" t="str">
        <f t="shared" si="3"/>
        <v>Accepté</v>
      </c>
      <c r="M18" t="str">
        <f t="shared" si="4"/>
        <v>Incertitude</v>
      </c>
      <c r="N18" t="str">
        <f t="shared" si="5"/>
        <v>0</v>
      </c>
      <c r="O18" t="str">
        <f t="shared" si="6"/>
        <v>0</v>
      </c>
      <c r="P18" t="str">
        <f t="shared" si="7"/>
        <v>0</v>
      </c>
      <c r="Q18" t="str">
        <f t="shared" si="8"/>
        <v>0</v>
      </c>
    </row>
    <row r="19" spans="1:17" x14ac:dyDescent="0.25">
      <c r="A19" s="2">
        <v>3.5286206172189392</v>
      </c>
      <c r="B19">
        <v>2.7479305292058758</v>
      </c>
      <c r="C19">
        <v>5.2657809269204519</v>
      </c>
      <c r="D19">
        <v>3.2767208417929541</v>
      </c>
      <c r="E19">
        <v>1.1484423052098423</v>
      </c>
      <c r="G19" t="str">
        <f t="shared" si="0"/>
        <v>Accepté</v>
      </c>
      <c r="H19" t="str">
        <f t="shared" si="0"/>
        <v>Incertitude</v>
      </c>
      <c r="I19" t="str">
        <f t="shared" si="0"/>
        <v>Accepté</v>
      </c>
      <c r="J19" t="str">
        <f t="shared" si="0"/>
        <v>Accepté</v>
      </c>
      <c r="K19" t="str">
        <f t="shared" si="0"/>
        <v>Rejetée</v>
      </c>
      <c r="M19" t="str">
        <f t="shared" si="4"/>
        <v>0</v>
      </c>
      <c r="N19" t="str">
        <f t="shared" si="5"/>
        <v>Incertitude</v>
      </c>
      <c r="O19" t="str">
        <f t="shared" si="6"/>
        <v>0</v>
      </c>
      <c r="P19" t="str">
        <f t="shared" si="7"/>
        <v>0</v>
      </c>
      <c r="Q19" t="str">
        <f t="shared" si="8"/>
        <v>0</v>
      </c>
    </row>
    <row r="20" spans="1:17" x14ac:dyDescent="0.25">
      <c r="A20">
        <v>1.9019956661183672</v>
      </c>
      <c r="B20">
        <v>1.0453682153318928</v>
      </c>
      <c r="C20">
        <v>3.4142665350455639</v>
      </c>
      <c r="D20">
        <v>1.4487523689651362E-2</v>
      </c>
      <c r="E20">
        <v>1.8822647010704068</v>
      </c>
      <c r="G20" t="str">
        <f t="shared" si="0"/>
        <v>Incertitude</v>
      </c>
      <c r="H20" t="str">
        <f t="shared" si="0"/>
        <v>Rejetée</v>
      </c>
      <c r="I20" t="str">
        <f t="shared" si="0"/>
        <v>Accepté</v>
      </c>
      <c r="J20" t="str">
        <f t="shared" si="0"/>
        <v>Rejetée</v>
      </c>
      <c r="K20" t="str">
        <f t="shared" si="0"/>
        <v>Incertitude</v>
      </c>
      <c r="M20" t="str">
        <f t="shared" si="4"/>
        <v>Incertitude</v>
      </c>
      <c r="N20" t="str">
        <f t="shared" si="5"/>
        <v>0</v>
      </c>
      <c r="O20" t="str">
        <f t="shared" si="6"/>
        <v>0</v>
      </c>
      <c r="P20" t="str">
        <f t="shared" si="7"/>
        <v>0</v>
      </c>
      <c r="Q20" t="str">
        <f t="shared" si="8"/>
        <v>Incertitude</v>
      </c>
    </row>
    <row r="21" spans="1:17" x14ac:dyDescent="0.25">
      <c r="A21" s="2">
        <v>3.1514402150388876</v>
      </c>
      <c r="B21">
        <v>4.5444856009559746</v>
      </c>
      <c r="C21">
        <v>1.4701666042188455</v>
      </c>
      <c r="D21">
        <v>4.8117166849142325</v>
      </c>
      <c r="E21">
        <v>2.0136186252210755</v>
      </c>
      <c r="G21" t="str">
        <f t="shared" si="0"/>
        <v>Accepté</v>
      </c>
      <c r="H21" t="str">
        <f t="shared" si="0"/>
        <v>Accepté</v>
      </c>
      <c r="I21" t="str">
        <f t="shared" si="0"/>
        <v>Rejetée</v>
      </c>
      <c r="J21" t="str">
        <f t="shared" si="0"/>
        <v>Accepté</v>
      </c>
      <c r="K21" t="str">
        <f t="shared" si="0"/>
        <v>Incertitude</v>
      </c>
      <c r="M21" t="str">
        <f t="shared" si="4"/>
        <v>0</v>
      </c>
      <c r="N21" t="str">
        <f t="shared" si="5"/>
        <v>0</v>
      </c>
      <c r="O21" t="str">
        <f t="shared" si="6"/>
        <v>0</v>
      </c>
      <c r="P21" t="str">
        <f t="shared" si="7"/>
        <v>0</v>
      </c>
      <c r="Q21" t="str">
        <f t="shared" si="8"/>
        <v>Incertitude</v>
      </c>
    </row>
    <row r="22" spans="1:17" x14ac:dyDescent="0.25">
      <c r="A22">
        <v>0.45246067042608756</v>
      </c>
      <c r="B22">
        <v>2.5016483353282704</v>
      </c>
      <c r="C22">
        <v>3.3947584178554155</v>
      </c>
      <c r="D22">
        <v>0.47210265997456147</v>
      </c>
      <c r="E22">
        <v>2.0531032620885483</v>
      </c>
      <c r="G22" t="str">
        <f t="shared" si="0"/>
        <v>Rejetée</v>
      </c>
      <c r="H22" t="str">
        <f t="shared" si="0"/>
        <v>Incertitude</v>
      </c>
      <c r="I22" t="str">
        <f t="shared" si="0"/>
        <v>Accepté</v>
      </c>
      <c r="J22" t="str">
        <f t="shared" si="0"/>
        <v>Rejetée</v>
      </c>
      <c r="K22" t="str">
        <f t="shared" si="0"/>
        <v>Incertitude</v>
      </c>
      <c r="M22" t="str">
        <f t="shared" si="4"/>
        <v>0</v>
      </c>
      <c r="N22" t="str">
        <f t="shared" si="5"/>
        <v>Incertitude</v>
      </c>
      <c r="O22" t="str">
        <f t="shared" si="6"/>
        <v>0</v>
      </c>
      <c r="P22" t="str">
        <f t="shared" si="7"/>
        <v>0</v>
      </c>
      <c r="Q22" t="str">
        <f t="shared" si="8"/>
        <v>Incertitude</v>
      </c>
    </row>
  </sheetData>
  <mergeCells count="2">
    <mergeCell ref="G1:K1"/>
    <mergeCell ref="A1:E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C2"/>
  <sheetViews>
    <sheetView workbookViewId="0">
      <selection activeCell="C10" sqref="C10"/>
    </sheetView>
  </sheetViews>
  <sheetFormatPr baseColWidth="10" defaultRowHeight="15" x14ac:dyDescent="0.25"/>
  <sheetData>
    <row r="1" spans="1:3" x14ac:dyDescent="0.25">
      <c r="A1" t="s">
        <v>18</v>
      </c>
      <c r="B1" t="s">
        <v>19</v>
      </c>
      <c r="C1" t="s">
        <v>20</v>
      </c>
    </row>
    <row r="2" spans="1:3" x14ac:dyDescent="0.25">
      <c r="A2">
        <f>COUNTIF('Scores et statuts '!G3:K22,"Accepté")</f>
        <v>36</v>
      </c>
      <c r="B2">
        <f>COUNTIF('Scores et statuts '!G3:K22,"Rejetée")</f>
        <v>27</v>
      </c>
      <c r="C2">
        <f>COUNTIF('Scores et statuts '!G3:K22,"Incertitude")</f>
        <v>37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Q52"/>
  <sheetViews>
    <sheetView topLeftCell="B1" workbookViewId="0">
      <selection activeCell="K24" sqref="K24"/>
    </sheetView>
  </sheetViews>
  <sheetFormatPr baseColWidth="10" defaultRowHeight="15" x14ac:dyDescent="0.25"/>
  <cols>
    <col min="1" max="2" width="22.140625" customWidth="1"/>
  </cols>
  <sheetData>
    <row r="1" spans="1:16" x14ac:dyDescent="0.25">
      <c r="B1" s="5"/>
      <c r="C1" s="9" t="s">
        <v>27</v>
      </c>
      <c r="D1" s="9"/>
      <c r="E1" s="9"/>
      <c r="F1" s="9"/>
      <c r="G1" s="9"/>
      <c r="H1" s="5"/>
      <c r="I1" s="5"/>
      <c r="J1" s="5"/>
      <c r="L1" s="3"/>
      <c r="M1" s="3"/>
      <c r="N1" s="3"/>
      <c r="O1" s="3"/>
      <c r="P1" s="3"/>
    </row>
    <row r="2" spans="1:16" x14ac:dyDescent="0.25">
      <c r="B2" s="5"/>
      <c r="C2" s="5"/>
      <c r="D2" s="9" t="s">
        <v>7</v>
      </c>
      <c r="E2" s="9"/>
      <c r="F2" s="9"/>
      <c r="G2" s="5"/>
      <c r="H2" s="5"/>
      <c r="I2" s="5"/>
      <c r="J2" s="5"/>
    </row>
    <row r="3" spans="1:16" x14ac:dyDescent="0.25">
      <c r="A3" t="s">
        <v>24</v>
      </c>
      <c r="B3" s="5" t="s">
        <v>25</v>
      </c>
      <c r="C3" s="6" t="s">
        <v>0</v>
      </c>
      <c r="D3" s="6" t="s">
        <v>1</v>
      </c>
      <c r="E3" s="6" t="s">
        <v>2</v>
      </c>
      <c r="F3" s="6" t="s">
        <v>3</v>
      </c>
      <c r="G3" s="6" t="s">
        <v>4</v>
      </c>
      <c r="H3" s="6" t="s">
        <v>5</v>
      </c>
      <c r="I3" s="6" t="s">
        <v>6</v>
      </c>
      <c r="J3" s="6" t="s">
        <v>26</v>
      </c>
      <c r="K3" s="1"/>
      <c r="L3" s="1"/>
      <c r="M3" s="1"/>
      <c r="N3" s="1"/>
      <c r="O3" s="1"/>
    </row>
    <row r="4" spans="1:16" x14ac:dyDescent="0.25">
      <c r="A4">
        <v>1</v>
      </c>
      <c r="B4">
        <v>2</v>
      </c>
      <c r="C4">
        <v>767679.90278552449</v>
      </c>
      <c r="D4">
        <v>5682966.321991628</v>
      </c>
      <c r="E4">
        <v>12298119.278205553</v>
      </c>
      <c r="F4">
        <v>6626213.2227108888</v>
      </c>
      <c r="G4">
        <v>681813.48151692166</v>
      </c>
      <c r="H4">
        <v>13532899.3271695</v>
      </c>
      <c r="I4">
        <v>5661406.7960526813</v>
      </c>
      <c r="J4">
        <f>score(C4,D4,E4,F4,G4,H4,I4)</f>
        <v>2.9900002746048608</v>
      </c>
    </row>
    <row r="5" spans="1:16" x14ac:dyDescent="0.25">
      <c r="A5">
        <v>2</v>
      </c>
      <c r="B5">
        <v>6</v>
      </c>
      <c r="C5" s="1">
        <v>14693183.682575719</v>
      </c>
      <c r="D5" s="1">
        <v>8133047.1927909926</v>
      </c>
      <c r="E5" s="1">
        <v>23042108.929079458</v>
      </c>
      <c r="F5" s="1">
        <v>8967831.5765048638</v>
      </c>
      <c r="G5" s="1">
        <v>1160500.3364955783</v>
      </c>
      <c r="H5" s="1">
        <v>10103797.485146832</v>
      </c>
      <c r="I5" s="1">
        <v>8704746.4701074455</v>
      </c>
      <c r="J5">
        <f t="shared" ref="J5:J10" si="0">score(C5,D5,E5,F5,G5,H5,I5)</f>
        <v>2.9900004639354036</v>
      </c>
    </row>
    <row r="6" spans="1:16" x14ac:dyDescent="0.25">
      <c r="A6">
        <v>4</v>
      </c>
      <c r="B6">
        <v>7</v>
      </c>
      <c r="C6">
        <v>2454596.8222448872</v>
      </c>
      <c r="D6">
        <v>9277572.4249925725</v>
      </c>
      <c r="E6">
        <v>17510765.327993974</v>
      </c>
      <c r="F6">
        <v>10642020.632503707</v>
      </c>
      <c r="G6">
        <v>911605.43234980211</v>
      </c>
      <c r="H6">
        <v>17630146.741436608</v>
      </c>
      <c r="I6">
        <v>761908.86950950429</v>
      </c>
      <c r="J6">
        <f t="shared" si="0"/>
        <v>2.9900001373724829</v>
      </c>
    </row>
    <row r="7" spans="1:16" x14ac:dyDescent="0.25">
      <c r="A7">
        <v>9</v>
      </c>
      <c r="B7">
        <v>9</v>
      </c>
      <c r="C7">
        <v>-6929430.3438535389</v>
      </c>
      <c r="D7">
        <v>7258379.934586457</v>
      </c>
      <c r="E7">
        <v>12418827.988541143</v>
      </c>
      <c r="F7">
        <v>8321441.6934740506</v>
      </c>
      <c r="G7">
        <v>473612.74187509227</v>
      </c>
      <c r="H7">
        <v>21452224.932017513</v>
      </c>
      <c r="I7">
        <v>7668295.3250588058</v>
      </c>
      <c r="J7">
        <f t="shared" si="0"/>
        <v>2.9900008279638213</v>
      </c>
    </row>
    <row r="8" spans="1:16" x14ac:dyDescent="0.25">
      <c r="A8">
        <v>10</v>
      </c>
      <c r="B8">
        <v>15</v>
      </c>
      <c r="C8">
        <v>12101720.813798295</v>
      </c>
      <c r="D8">
        <v>9458705.2637259569</v>
      </c>
      <c r="E8">
        <v>23529422.388124473</v>
      </c>
      <c r="F8">
        <v>9826348.8764186688</v>
      </c>
      <c r="G8">
        <v>473253.29239132139</v>
      </c>
      <c r="H8">
        <v>12385202.691463126</v>
      </c>
      <c r="I8">
        <v>9631932.3281295747</v>
      </c>
      <c r="J8">
        <f t="shared" si="0"/>
        <v>2.9899993388739992</v>
      </c>
    </row>
    <row r="9" spans="1:16" x14ac:dyDescent="0.25">
      <c r="A9">
        <v>11</v>
      </c>
      <c r="B9">
        <v>16</v>
      </c>
      <c r="C9">
        <v>5206616.016624894</v>
      </c>
      <c r="D9">
        <v>8816885.8343500998</v>
      </c>
      <c r="E9">
        <v>19132213.640271533</v>
      </c>
      <c r="F9">
        <v>8757349.3480268512</v>
      </c>
      <c r="G9">
        <v>140273.59132250413</v>
      </c>
      <c r="H9">
        <v>14011872.69537174</v>
      </c>
      <c r="I9">
        <v>9609171.4577636924</v>
      </c>
      <c r="J9">
        <f t="shared" si="0"/>
        <v>2.9899996564040308</v>
      </c>
    </row>
    <row r="10" spans="1:16" x14ac:dyDescent="0.25">
      <c r="A10">
        <v>14</v>
      </c>
      <c r="B10">
        <v>18</v>
      </c>
      <c r="C10">
        <v>3268486.9652353181</v>
      </c>
      <c r="D10">
        <v>7852853.994276613</v>
      </c>
      <c r="E10">
        <v>18844136.1660432</v>
      </c>
      <c r="F10">
        <v>9842271.0062174723</v>
      </c>
      <c r="G10">
        <v>992874.40730496205</v>
      </c>
      <c r="H10">
        <v>18705163.41566347</v>
      </c>
      <c r="I10">
        <v>8356487.7821652647</v>
      </c>
      <c r="J10">
        <f t="shared" si="0"/>
        <v>2.9899994605254774</v>
      </c>
    </row>
    <row r="12" spans="1:16" x14ac:dyDescent="0.25">
      <c r="B12" s="5"/>
      <c r="C12" s="9" t="s">
        <v>8</v>
      </c>
      <c r="D12" s="9"/>
      <c r="E12" s="9"/>
      <c r="F12" s="9"/>
      <c r="G12" s="9"/>
      <c r="H12" s="9"/>
      <c r="I12" s="9"/>
      <c r="J12" s="5"/>
    </row>
    <row r="13" spans="1:16" x14ac:dyDescent="0.25">
      <c r="A13" t="s">
        <v>24</v>
      </c>
      <c r="B13" s="5" t="s">
        <v>25</v>
      </c>
      <c r="C13" s="5" t="s">
        <v>0</v>
      </c>
      <c r="D13" s="5" t="s">
        <v>1</v>
      </c>
      <c r="E13" s="5" t="s">
        <v>2</v>
      </c>
      <c r="F13" s="5" t="s">
        <v>3</v>
      </c>
      <c r="G13" s="5" t="s">
        <v>4</v>
      </c>
      <c r="H13" s="5" t="s">
        <v>5</v>
      </c>
      <c r="I13" s="5" t="s">
        <v>6</v>
      </c>
      <c r="J13" s="5" t="s">
        <v>26</v>
      </c>
    </row>
    <row r="14" spans="1:16" x14ac:dyDescent="0.25">
      <c r="A14">
        <v>1</v>
      </c>
      <c r="B14">
        <v>1</v>
      </c>
      <c r="C14">
        <v>10878015.272531776</v>
      </c>
      <c r="D14">
        <v>7955728.6322735678</v>
      </c>
      <c r="E14">
        <v>20974193.638251398</v>
      </c>
      <c r="F14">
        <v>8884041.8541078083</v>
      </c>
      <c r="G14">
        <v>805437.91688330378</v>
      </c>
      <c r="H14">
        <v>12074791.386110354</v>
      </c>
      <c r="I14">
        <v>8372783.4036365394</v>
      </c>
      <c r="J14">
        <f>score(C14,D14,E14,F14,G14,H14,I14)</f>
        <v>2.9899993259629025</v>
      </c>
    </row>
    <row r="15" spans="1:16" x14ac:dyDescent="0.25">
      <c r="A15">
        <v>2</v>
      </c>
      <c r="B15">
        <v>2</v>
      </c>
      <c r="C15">
        <v>-5101551.9957410656</v>
      </c>
      <c r="D15">
        <v>6410625.4091720823</v>
      </c>
      <c r="E15">
        <v>10365679.56473949</v>
      </c>
      <c r="F15">
        <v>6442819.7290901579</v>
      </c>
      <c r="G15">
        <v>511218.05039575376</v>
      </c>
      <c r="H15">
        <v>15773824.490022218</v>
      </c>
      <c r="I15">
        <v>6684172.9540584525</v>
      </c>
      <c r="J15">
        <f t="shared" ref="J15:J20" si="1">score(C15,D15,E15,F15,G15,H15,I15)</f>
        <v>2.9899990089474788</v>
      </c>
    </row>
    <row r="16" spans="1:16" x14ac:dyDescent="0.25">
      <c r="A16">
        <v>6</v>
      </c>
      <c r="B16">
        <v>6</v>
      </c>
      <c r="C16">
        <v>8544238.5132776666</v>
      </c>
      <c r="D16">
        <v>7798662.8156298213</v>
      </c>
      <c r="E16">
        <v>18696291.135578126</v>
      </c>
      <c r="F16">
        <v>7866907.3499162709</v>
      </c>
      <c r="G16">
        <v>235978.00988998258</v>
      </c>
      <c r="H16">
        <v>10506135.116896264</v>
      </c>
      <c r="I16">
        <v>8526465.6298618913</v>
      </c>
      <c r="J16">
        <f t="shared" si="1"/>
        <v>2.9899999118014642</v>
      </c>
    </row>
    <row r="17" spans="1:17" x14ac:dyDescent="0.25">
      <c r="A17">
        <v>10</v>
      </c>
      <c r="B17">
        <v>10</v>
      </c>
      <c r="C17" s="1">
        <v>-9836005.8790005278</v>
      </c>
      <c r="D17" s="1">
        <v>8450630.034822097</v>
      </c>
      <c r="E17" s="1">
        <v>13351492.851849861</v>
      </c>
      <c r="F17" s="1">
        <v>9360091.7775891684</v>
      </c>
      <c r="G17" s="1">
        <v>555787.61482418259</v>
      </c>
      <c r="H17" s="1">
        <v>24931054.541758414</v>
      </c>
      <c r="I17" s="1">
        <v>8835225.7765070181</v>
      </c>
      <c r="J17">
        <f t="shared" si="1"/>
        <v>2.9899993924131207</v>
      </c>
    </row>
    <row r="18" spans="1:17" x14ac:dyDescent="0.25">
      <c r="A18">
        <v>14</v>
      </c>
      <c r="B18">
        <v>14</v>
      </c>
      <c r="C18">
        <v>10081246.869246807</v>
      </c>
      <c r="D18">
        <v>7695422.3390723057</v>
      </c>
      <c r="E18">
        <v>20968621.221947361</v>
      </c>
      <c r="F18">
        <v>9254767.143432457</v>
      </c>
      <c r="G18">
        <v>1059302.6740392833</v>
      </c>
      <c r="H18">
        <v>13648461.505660262</v>
      </c>
      <c r="I18">
        <v>8316228.672526299</v>
      </c>
      <c r="J18">
        <f t="shared" si="1"/>
        <v>2.9900008715664708</v>
      </c>
    </row>
    <row r="19" spans="1:17" x14ac:dyDescent="0.25">
      <c r="A19">
        <v>17</v>
      </c>
      <c r="B19">
        <v>17</v>
      </c>
      <c r="C19">
        <v>-521429.69962084753</v>
      </c>
      <c r="D19">
        <v>11135735.521747336</v>
      </c>
      <c r="E19">
        <v>21585615.162508711</v>
      </c>
      <c r="F19">
        <v>11474168.957718892</v>
      </c>
      <c r="G19">
        <v>331541.09138387209</v>
      </c>
      <c r="H19">
        <v>22986876.283156887</v>
      </c>
      <c r="I19">
        <v>11536655.866253421</v>
      </c>
      <c r="J19">
        <f t="shared" si="1"/>
        <v>2.9899999240672064</v>
      </c>
    </row>
    <row r="20" spans="1:17" x14ac:dyDescent="0.25">
      <c r="A20">
        <v>20</v>
      </c>
      <c r="B20">
        <v>20</v>
      </c>
      <c r="C20">
        <v>-70472.161878999963</v>
      </c>
      <c r="D20">
        <v>7425569.0000705393</v>
      </c>
      <c r="E20">
        <v>14971486.742243167</v>
      </c>
      <c r="F20">
        <v>7973094.8440965703</v>
      </c>
      <c r="G20">
        <v>395996.65083874355</v>
      </c>
      <c r="H20">
        <v>16271311.811295474</v>
      </c>
      <c r="I20">
        <v>7931614.2577962372</v>
      </c>
      <c r="J20">
        <f t="shared" si="1"/>
        <v>2.9899998573653548</v>
      </c>
      <c r="M20" s="8"/>
      <c r="N20" s="8"/>
      <c r="O20" s="8"/>
      <c r="P20" s="8"/>
      <c r="Q20" s="8"/>
    </row>
    <row r="22" spans="1:17" x14ac:dyDescent="0.25">
      <c r="B22" s="5"/>
      <c r="C22" s="9" t="s">
        <v>9</v>
      </c>
      <c r="D22" s="9"/>
      <c r="E22" s="9"/>
      <c r="F22" s="9"/>
      <c r="G22" s="9"/>
      <c r="H22" s="9"/>
      <c r="I22" s="9"/>
      <c r="J22" s="5"/>
    </row>
    <row r="23" spans="1:17" x14ac:dyDescent="0.25">
      <c r="B23" s="5" t="s">
        <v>25</v>
      </c>
      <c r="C23" s="5" t="s">
        <v>0</v>
      </c>
      <c r="D23" s="5" t="s">
        <v>1</v>
      </c>
      <c r="E23" s="5" t="s">
        <v>2</v>
      </c>
      <c r="F23" s="5" t="s">
        <v>3</v>
      </c>
      <c r="G23" s="5" t="s">
        <v>4</v>
      </c>
      <c r="H23" s="5" t="s">
        <v>5</v>
      </c>
      <c r="I23" s="5" t="s">
        <v>6</v>
      </c>
      <c r="J23" s="5" t="s">
        <v>26</v>
      </c>
    </row>
    <row r="24" spans="1:17" x14ac:dyDescent="0.25">
      <c r="B24">
        <v>1</v>
      </c>
      <c r="C24">
        <v>-4040525.7992378492</v>
      </c>
      <c r="D24">
        <v>9009315.1539942212</v>
      </c>
      <c r="E24">
        <v>15621321.154039405</v>
      </c>
      <c r="F24">
        <v>8960981.7606717255</v>
      </c>
      <c r="G24">
        <v>215791.50855076252</v>
      </c>
      <c r="H24">
        <v>19772774.374095436</v>
      </c>
      <c r="I24">
        <v>9279089.2287935819</v>
      </c>
      <c r="J24">
        <f>score(C24,D24,E24,F24,G24,H24,I24)</f>
        <v>2.9900000916280396</v>
      </c>
    </row>
    <row r="25" spans="1:17" x14ac:dyDescent="0.25">
      <c r="B25">
        <v>2</v>
      </c>
      <c r="C25">
        <v>1051594.9823730215</v>
      </c>
      <c r="D25">
        <v>10870997.357493086</v>
      </c>
      <c r="E25">
        <v>21582286.361767821</v>
      </c>
      <c r="F25">
        <v>11128429.275028141</v>
      </c>
      <c r="G25">
        <v>336134.67799565708</v>
      </c>
      <c r="H25">
        <v>21366440.563490987</v>
      </c>
      <c r="I25">
        <v>11133329.884979399</v>
      </c>
      <c r="J25">
        <f t="shared" ref="J25:J30" si="2">score(C25,D25,E25,F25,G25,H25,I25)</f>
        <v>2.9900002429331263</v>
      </c>
    </row>
    <row r="26" spans="1:17" x14ac:dyDescent="0.25">
      <c r="B26">
        <v>4</v>
      </c>
      <c r="C26">
        <v>4243521.711344379</v>
      </c>
      <c r="D26">
        <v>9033422.2820893787</v>
      </c>
      <c r="E26">
        <v>19037918.988294668</v>
      </c>
      <c r="F26">
        <v>8989526.8728809953</v>
      </c>
      <c r="G26">
        <v>277379.03469162027</v>
      </c>
      <c r="H26">
        <v>14911615.079299683</v>
      </c>
      <c r="I26">
        <v>9315756.4978343435</v>
      </c>
      <c r="J26">
        <f t="shared" si="2"/>
        <v>2.9900000998871343</v>
      </c>
    </row>
    <row r="27" spans="1:17" x14ac:dyDescent="0.25">
      <c r="B27">
        <v>9</v>
      </c>
      <c r="C27">
        <v>6211771.4317349186</v>
      </c>
      <c r="D27">
        <v>8421456.7834361661</v>
      </c>
      <c r="E27">
        <v>20907641.79455122</v>
      </c>
      <c r="F27">
        <v>10285856.737617942</v>
      </c>
      <c r="G27">
        <v>1159844.1473052572</v>
      </c>
      <c r="H27">
        <v>18321440.025485996</v>
      </c>
      <c r="I27">
        <v>8540748.5502642747</v>
      </c>
      <c r="J27">
        <f t="shared" si="2"/>
        <v>2.9899995700624</v>
      </c>
    </row>
    <row r="28" spans="1:17" x14ac:dyDescent="0.25">
      <c r="B28">
        <v>10</v>
      </c>
      <c r="C28">
        <v>2719040.7046617391</v>
      </c>
      <c r="D28">
        <v>6542348.1993135093</v>
      </c>
      <c r="E28">
        <v>15911161.77449649</v>
      </c>
      <c r="F28">
        <v>8363609.1686276589</v>
      </c>
      <c r="G28">
        <v>1096330.0628703826</v>
      </c>
      <c r="H28">
        <v>16115654.747234549</v>
      </c>
      <c r="I28">
        <v>6909793.7200183515</v>
      </c>
      <c r="J28">
        <f t="shared" si="2"/>
        <v>2.9900003986126191</v>
      </c>
    </row>
    <row r="29" spans="1:17" x14ac:dyDescent="0.25">
      <c r="B29">
        <v>11</v>
      </c>
      <c r="C29">
        <v>-1383344.1959244173</v>
      </c>
      <c r="D29">
        <v>7346649.1781166317</v>
      </c>
      <c r="E29">
        <v>14371108.37119351</v>
      </c>
      <c r="F29">
        <v>8107380.2256819718</v>
      </c>
      <c r="G29">
        <v>478199.3956739768</v>
      </c>
      <c r="H29">
        <v>17349949.052106168</v>
      </c>
      <c r="I29">
        <v>7359677.3908503326</v>
      </c>
      <c r="J29">
        <f t="shared" si="2"/>
        <v>2.9900008580854225</v>
      </c>
    </row>
    <row r="30" spans="1:17" x14ac:dyDescent="0.25">
      <c r="B30">
        <v>14</v>
      </c>
      <c r="C30">
        <v>2648567.9951464054</v>
      </c>
      <c r="D30">
        <v>9212662.5550495218</v>
      </c>
      <c r="E30">
        <v>19679342.059325773</v>
      </c>
      <c r="F30">
        <v>9907940.3144782614</v>
      </c>
      <c r="G30">
        <v>632338.15906248777</v>
      </c>
      <c r="H30">
        <v>18708356.146423716</v>
      </c>
      <c r="I30">
        <v>9679609.0958904177</v>
      </c>
      <c r="J30">
        <f t="shared" si="2"/>
        <v>2.9900001518027541</v>
      </c>
    </row>
    <row r="32" spans="1:17" x14ac:dyDescent="0.25">
      <c r="B32" s="5"/>
      <c r="C32" s="9" t="s">
        <v>10</v>
      </c>
      <c r="D32" s="9"/>
      <c r="E32" s="9"/>
      <c r="F32" s="9"/>
      <c r="G32" s="9"/>
      <c r="H32" s="9"/>
      <c r="I32" s="9"/>
      <c r="J32" s="5"/>
    </row>
    <row r="33" spans="2:10" x14ac:dyDescent="0.25">
      <c r="B33" s="5" t="s">
        <v>25</v>
      </c>
      <c r="C33" s="5" t="s">
        <v>0</v>
      </c>
      <c r="D33" s="5" t="s">
        <v>1</v>
      </c>
      <c r="E33" s="5" t="s">
        <v>2</v>
      </c>
      <c r="F33" s="5" t="s">
        <v>3</v>
      </c>
      <c r="G33" s="5" t="s">
        <v>4</v>
      </c>
      <c r="H33" s="5" t="s">
        <v>5</v>
      </c>
      <c r="I33" s="5" t="s">
        <v>6</v>
      </c>
      <c r="J33" s="5" t="s">
        <v>26</v>
      </c>
    </row>
    <row r="34" spans="2:10" x14ac:dyDescent="0.25">
      <c r="B34">
        <v>2</v>
      </c>
      <c r="C34">
        <v>9783732.4045988303</v>
      </c>
      <c r="D34">
        <v>7174725.0506271031</v>
      </c>
      <c r="E34">
        <v>19987751.302186921</v>
      </c>
      <c r="F34">
        <v>8807734.1124558579</v>
      </c>
      <c r="G34">
        <v>1334976.8693491509</v>
      </c>
      <c r="H34">
        <v>13076246.028541667</v>
      </c>
      <c r="I34">
        <v>7696118.5140348664</v>
      </c>
      <c r="J34">
        <f>score(C34,D34,E34,F34,G34,H34,I34)</f>
        <v>2.9900005145138588</v>
      </c>
    </row>
    <row r="35" spans="2:10" x14ac:dyDescent="0.25">
      <c r="B35">
        <v>3</v>
      </c>
      <c r="C35">
        <v>12991102.919801775</v>
      </c>
      <c r="D35">
        <v>7280417.8480180502</v>
      </c>
      <c r="E35">
        <v>21548583.507382616</v>
      </c>
      <c r="F35">
        <v>9045062.0300056208</v>
      </c>
      <c r="G35">
        <v>1566992.4984352265</v>
      </c>
      <c r="H35">
        <v>11627500.567096241</v>
      </c>
      <c r="I35">
        <v>7064322.9282411709</v>
      </c>
      <c r="J35">
        <f t="shared" ref="J35:J39" si="3">score(C35,D35,E35,F35,G35,H35,I35)</f>
        <v>2.9900007693511843</v>
      </c>
    </row>
    <row r="36" spans="2:10" x14ac:dyDescent="0.25">
      <c r="B36">
        <v>4</v>
      </c>
      <c r="C36">
        <v>6485829.6484882515</v>
      </c>
      <c r="D36">
        <v>8240787.1731541213</v>
      </c>
      <c r="E36">
        <v>21221704.00498604</v>
      </c>
      <c r="F36">
        <v>10633938.38302438</v>
      </c>
      <c r="G36">
        <v>1253976.0891634868</v>
      </c>
      <c r="H36">
        <v>18521379.732875131</v>
      </c>
      <c r="I36">
        <v>8186901.6337041026</v>
      </c>
      <c r="J36">
        <f t="shared" si="3"/>
        <v>2.9899996210827791</v>
      </c>
    </row>
    <row r="37" spans="2:10" x14ac:dyDescent="0.25">
      <c r="B37">
        <v>5</v>
      </c>
      <c r="C37">
        <v>-635275.46851174009</v>
      </c>
      <c r="D37">
        <v>10821400.453672837</v>
      </c>
      <c r="E37">
        <v>21822689.059942704</v>
      </c>
      <c r="F37">
        <v>12096847.214599598</v>
      </c>
      <c r="G37">
        <v>588081.50997167861</v>
      </c>
      <c r="H37">
        <v>24903424.103929035</v>
      </c>
      <c r="I37">
        <v>10644065.102702262</v>
      </c>
      <c r="J37">
        <f t="shared" si="3"/>
        <v>2.9900000616016102</v>
      </c>
    </row>
    <row r="38" spans="2:10" x14ac:dyDescent="0.25">
      <c r="B38">
        <v>10</v>
      </c>
      <c r="C38">
        <v>3418046.2207122538</v>
      </c>
      <c r="D38">
        <v>10807564.089997131</v>
      </c>
      <c r="E38">
        <v>22436176.976827558</v>
      </c>
      <c r="F38">
        <v>10990918.9999563</v>
      </c>
      <c r="G38">
        <v>274064.68014680501</v>
      </c>
      <c r="H38">
        <v>19691553.267634816</v>
      </c>
      <c r="I38">
        <v>11405925.258132443</v>
      </c>
      <c r="J38">
        <f t="shared" si="3"/>
        <v>2.9899995114784677</v>
      </c>
    </row>
    <row r="39" spans="2:10" x14ac:dyDescent="0.25">
      <c r="B39">
        <v>13</v>
      </c>
      <c r="C39">
        <v>9152192.3142403644</v>
      </c>
      <c r="D39">
        <v>6231235.3455660492</v>
      </c>
      <c r="E39">
        <v>17069650.943828061</v>
      </c>
      <c r="F39">
        <v>7221341.5492327269</v>
      </c>
      <c r="G39">
        <v>898966.12228199886</v>
      </c>
      <c r="H39">
        <v>9995725.1029644068</v>
      </c>
      <c r="I39">
        <v>6586954.3130465336</v>
      </c>
      <c r="J39">
        <f t="shared" si="3"/>
        <v>2.989999829579074</v>
      </c>
    </row>
    <row r="41" spans="2:10" x14ac:dyDescent="0.25">
      <c r="B41" s="5"/>
      <c r="C41" s="9" t="s">
        <v>17</v>
      </c>
      <c r="D41" s="9"/>
      <c r="E41" s="9"/>
      <c r="F41" s="9"/>
      <c r="G41" s="9"/>
      <c r="H41" s="9"/>
      <c r="I41" s="9"/>
      <c r="J41" s="5"/>
    </row>
    <row r="42" spans="2:10" x14ac:dyDescent="0.25">
      <c r="B42" s="5" t="s">
        <v>25</v>
      </c>
      <c r="C42" s="5" t="s">
        <v>0</v>
      </c>
      <c r="D42" s="5" t="s">
        <v>1</v>
      </c>
      <c r="E42" s="5" t="s">
        <v>2</v>
      </c>
      <c r="F42" s="5" t="s">
        <v>3</v>
      </c>
      <c r="G42" s="5" t="s">
        <v>4</v>
      </c>
      <c r="H42" s="5" t="s">
        <v>5</v>
      </c>
      <c r="I42" s="5" t="s">
        <v>6</v>
      </c>
      <c r="J42" s="5" t="s">
        <v>26</v>
      </c>
    </row>
    <row r="43" spans="2:10" x14ac:dyDescent="0.25">
      <c r="B43">
        <v>1</v>
      </c>
      <c r="C43">
        <v>-1975648.2027106623</v>
      </c>
      <c r="D43">
        <v>7643609.5165348155</v>
      </c>
      <c r="E43">
        <v>15686130.03025206</v>
      </c>
      <c r="F43">
        <v>9100446.3087173607</v>
      </c>
      <c r="G43">
        <v>686233.73101842566</v>
      </c>
      <c r="H43">
        <v>20275636.183829725</v>
      </c>
      <c r="I43">
        <v>8229461.3888260741</v>
      </c>
      <c r="J43">
        <f>score(C43,D43,E43,F43,G43,H43,I43)</f>
        <v>2.9899994282541278</v>
      </c>
    </row>
    <row r="44" spans="2:10" x14ac:dyDescent="0.25">
      <c r="B44">
        <v>2</v>
      </c>
      <c r="C44">
        <v>2855983.270633569</v>
      </c>
      <c r="D44">
        <v>8181564.1262927596</v>
      </c>
      <c r="E44">
        <v>19190116.169970647</v>
      </c>
      <c r="F44">
        <v>10230847.430360395</v>
      </c>
      <c r="G44">
        <v>935756.10407035134</v>
      </c>
      <c r="H44">
        <v>19800776.734405492</v>
      </c>
      <c r="I44">
        <v>8199325.1134015955</v>
      </c>
      <c r="J44">
        <f t="shared" ref="J44:J52" si="4">score(C44,D44,E44,F44,G44,H44,I44)</f>
        <v>2.9899990496831688</v>
      </c>
    </row>
    <row r="45" spans="2:10" x14ac:dyDescent="0.25">
      <c r="B45">
        <v>3</v>
      </c>
      <c r="C45">
        <v>-4617870.9297927618</v>
      </c>
      <c r="D45">
        <v>10070885.110261241</v>
      </c>
      <c r="E45">
        <v>18443859.895211052</v>
      </c>
      <c r="F45">
        <v>10992003.992050322</v>
      </c>
      <c r="G45">
        <v>756387.66922407481</v>
      </c>
      <c r="H45">
        <v>24933699.132048182</v>
      </c>
      <c r="I45">
        <v>9990033.9100802056</v>
      </c>
      <c r="J45">
        <f t="shared" si="4"/>
        <v>2.9900009145862958</v>
      </c>
    </row>
    <row r="46" spans="2:10" x14ac:dyDescent="0.25">
      <c r="B46">
        <v>4</v>
      </c>
      <c r="C46">
        <v>-9826474.4964742772</v>
      </c>
      <c r="D46">
        <v>7473400.5874521974</v>
      </c>
      <c r="E46">
        <v>11709901.056671681</v>
      </c>
      <c r="F46">
        <v>8629077.0305562094</v>
      </c>
      <c r="G46">
        <v>494275.39560085326</v>
      </c>
      <c r="H46">
        <v>23594121.807712745</v>
      </c>
      <c r="I46">
        <v>7726206.5336278016</v>
      </c>
      <c r="J46">
        <f t="shared" si="4"/>
        <v>2.9900008003242564</v>
      </c>
    </row>
    <row r="47" spans="2:10" x14ac:dyDescent="0.25">
      <c r="B47">
        <v>8</v>
      </c>
      <c r="C47">
        <v>-2042265.4410356372</v>
      </c>
      <c r="D47">
        <v>6567947.9049243387</v>
      </c>
      <c r="E47">
        <v>12678476.270766133</v>
      </c>
      <c r="F47">
        <v>7411204.0853284029</v>
      </c>
      <c r="G47">
        <v>408853.34855587012</v>
      </c>
      <c r="H47">
        <v>16548643.940981233</v>
      </c>
      <c r="I47">
        <v>6525837.8751377398</v>
      </c>
      <c r="J47">
        <f t="shared" si="4"/>
        <v>2.9899994122920996</v>
      </c>
    </row>
    <row r="48" spans="2:10" x14ac:dyDescent="0.25">
      <c r="B48">
        <v>12</v>
      </c>
      <c r="C48">
        <v>3488379.2168252878</v>
      </c>
      <c r="D48">
        <v>6542463.4241027879</v>
      </c>
      <c r="E48">
        <v>15358565.482803548</v>
      </c>
      <c r="F48">
        <v>7734162.9808704956</v>
      </c>
      <c r="G48">
        <v>632450.51085642085</v>
      </c>
      <c r="H48">
        <v>14134434.41684065</v>
      </c>
      <c r="I48">
        <v>6648191.7801455855</v>
      </c>
      <c r="J48">
        <f t="shared" si="4"/>
        <v>2.9900007276592344</v>
      </c>
    </row>
    <row r="49" spans="2:10" x14ac:dyDescent="0.25">
      <c r="B49">
        <v>15</v>
      </c>
      <c r="C49">
        <v>-7938067.3255724814</v>
      </c>
      <c r="D49">
        <v>8184169.0533926273</v>
      </c>
      <c r="E49">
        <v>12495877.02423295</v>
      </c>
      <c r="F49">
        <v>8118247.96015481</v>
      </c>
      <c r="G49">
        <v>455182.78645327664</v>
      </c>
      <c r="H49">
        <v>20509971.699968237</v>
      </c>
      <c r="I49">
        <v>8482394.518899722</v>
      </c>
      <c r="J49">
        <f t="shared" si="4"/>
        <v>2.9900007035709422</v>
      </c>
    </row>
    <row r="50" spans="2:10" x14ac:dyDescent="0.25">
      <c r="B50">
        <v>18</v>
      </c>
      <c r="C50">
        <v>-2381368.0386037882</v>
      </c>
      <c r="D50">
        <v>9090319.9791177455</v>
      </c>
      <c r="E50">
        <v>18658920.736589048</v>
      </c>
      <c r="F50">
        <v>11086079.831895918</v>
      </c>
      <c r="G50">
        <v>766631.38625810842</v>
      </c>
      <c r="H50">
        <v>24340383.065854143</v>
      </c>
      <c r="I50">
        <v>8993693.1817407608</v>
      </c>
      <c r="J50">
        <f>score(C50,D50,E50,F50,G50,H50,I50)</f>
        <v>2.990000577091517</v>
      </c>
    </row>
    <row r="51" spans="2:10" x14ac:dyDescent="0.25">
      <c r="B51">
        <v>19</v>
      </c>
      <c r="C51">
        <v>2207028.3416968975</v>
      </c>
      <c r="D51">
        <v>6146264.1167400787</v>
      </c>
      <c r="E51">
        <v>14154710.735259345</v>
      </c>
      <c r="F51">
        <v>7382843.456058519</v>
      </c>
      <c r="G51">
        <v>733156.01470921165</v>
      </c>
      <c r="H51">
        <v>14266299.352516409</v>
      </c>
      <c r="I51">
        <v>6275822.238819601</v>
      </c>
      <c r="J51">
        <f t="shared" si="4"/>
        <v>2.9900000128918078</v>
      </c>
    </row>
    <row r="52" spans="2:10" x14ac:dyDescent="0.25">
      <c r="B52">
        <v>20</v>
      </c>
      <c r="C52">
        <v>1343267.6057852439</v>
      </c>
      <c r="D52">
        <v>6347399.4354725797</v>
      </c>
      <c r="E52">
        <v>14186341.662173551</v>
      </c>
      <c r="F52">
        <v>7551642.3796144687</v>
      </c>
      <c r="G52">
        <v>814145.69927265507</v>
      </c>
      <c r="H52">
        <v>14970825.855555378</v>
      </c>
      <c r="I52">
        <v>6542110.6755454922</v>
      </c>
      <c r="J52">
        <f t="shared" si="4"/>
        <v>2.9899997720778724</v>
      </c>
    </row>
  </sheetData>
  <mergeCells count="7">
    <mergeCell ref="M20:Q20"/>
    <mergeCell ref="C22:I22"/>
    <mergeCell ref="C32:I32"/>
    <mergeCell ref="C41:I41"/>
    <mergeCell ref="C1:G1"/>
    <mergeCell ref="D2:F2"/>
    <mergeCell ref="C12:I1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1</vt:i4>
      </vt:variant>
    </vt:vector>
  </HeadingPairs>
  <TitlesOfParts>
    <vt:vector size="10" baseType="lpstr">
      <vt:lpstr>A</vt:lpstr>
      <vt:lpstr>B</vt:lpstr>
      <vt:lpstr>C</vt:lpstr>
      <vt:lpstr>D</vt:lpstr>
      <vt:lpstr>E</vt:lpstr>
      <vt:lpstr>HeatMap</vt:lpstr>
      <vt:lpstr>Scores et statuts </vt:lpstr>
      <vt:lpstr>Diagramme</vt:lpstr>
      <vt:lpstr>Orientations</vt:lpstr>
      <vt:lpstr>HeatMap!Criteres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Sokhna</dc:creator>
  <cp:lastModifiedBy>YODA ISMAEL</cp:lastModifiedBy>
  <dcterms:created xsi:type="dcterms:W3CDTF">2020-02-19T21:19:23Z</dcterms:created>
  <dcterms:modified xsi:type="dcterms:W3CDTF">2020-02-29T22:39:57Z</dcterms:modified>
</cp:coreProperties>
</file>