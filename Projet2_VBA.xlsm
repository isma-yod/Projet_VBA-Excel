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ODA ISMAEL\Desktop\Dossier Etudes\Dossiers Master\Informatique et programmation\VBA Excel\Projet2VBA_YODA_DIOP\"/>
    </mc:Choice>
  </mc:AlternateContent>
  <bookViews>
    <workbookView xWindow="0" yWindow="0" windowWidth="20430" windowHeight="8940"/>
  </bookViews>
  <sheets>
    <sheet name="Menu" sheetId="9" r:id="rId1"/>
    <sheet name="Donnees" sheetId="1" r:id="rId2"/>
    <sheet name="Graphique1" sheetId="3" state="hidden" r:id="rId3"/>
    <sheet name="Feuil1" sheetId="10" state="hidden" r:id="rId4"/>
    <sheet name="Graphique2" sheetId="4" state="hidden" r:id="rId5"/>
    <sheet name="Graphique3" sheetId="6" state="hidden" r:id="rId6"/>
    <sheet name="combo" sheetId="2" state="hidden" r:id="rId7"/>
  </sheets>
  <definedNames>
    <definedName name="Form_Patient">Donnees!$A$2:$W$105</definedName>
    <definedName name="Patient">Donnees!$A$2:$AJ$376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A2" i="10"/>
  <c r="B2" i="10"/>
  <c r="C2" i="10"/>
  <c r="D2" i="10"/>
  <c r="E2" i="10"/>
  <c r="F2" i="10"/>
  <c r="G2" i="10"/>
</calcChain>
</file>

<file path=xl/sharedStrings.xml><?xml version="1.0" encoding="utf-8"?>
<sst xmlns="http://schemas.openxmlformats.org/spreadsheetml/2006/main" count="1609" uniqueCount="244">
  <si>
    <t>IdPatient</t>
  </si>
  <si>
    <t>BrasTrait</t>
  </si>
  <si>
    <t>Sexe</t>
  </si>
  <si>
    <t>DateNaiss</t>
  </si>
  <si>
    <t>Taille</t>
  </si>
  <si>
    <t>Poids</t>
  </si>
  <si>
    <t>ResTG</t>
  </si>
  <si>
    <t>Gepaisse</t>
  </si>
  <si>
    <t>PStemie</t>
  </si>
  <si>
    <t>Spot_Sang</t>
  </si>
  <si>
    <t>EIndes</t>
  </si>
  <si>
    <t>Medic</t>
  </si>
  <si>
    <t>DescrEI</t>
  </si>
  <si>
    <t>Date_Debut</t>
  </si>
  <si>
    <t>Date_Fin</t>
  </si>
  <si>
    <t>Intensité</t>
  </si>
  <si>
    <t>Gravite</t>
  </si>
  <si>
    <t>ActPriseEI</t>
  </si>
  <si>
    <t>DevSuiteEI</t>
  </si>
  <si>
    <t>RelAvecTrait</t>
  </si>
  <si>
    <t>Positif</t>
  </si>
  <si>
    <t>Négatif</t>
  </si>
  <si>
    <t>Non Attribuable</t>
  </si>
  <si>
    <t>Léger</t>
  </si>
  <si>
    <t>Modéré</t>
  </si>
  <si>
    <t>Sévère</t>
  </si>
  <si>
    <t>Hospitalisation</t>
  </si>
  <si>
    <t>Autre medicaments</t>
  </si>
  <si>
    <t>Aucune Action</t>
  </si>
  <si>
    <t>Résolu</t>
  </si>
  <si>
    <t>Dose reduite</t>
  </si>
  <si>
    <t>Non Résolu</t>
  </si>
  <si>
    <t>Decès</t>
  </si>
  <si>
    <t>Sequelles</t>
  </si>
  <si>
    <t>En cours de resolution</t>
  </si>
  <si>
    <t>Inconnu</t>
  </si>
  <si>
    <t>Oui</t>
  </si>
  <si>
    <t>Possible</t>
  </si>
  <si>
    <t>Non</t>
  </si>
  <si>
    <t>Ne sait pas</t>
  </si>
  <si>
    <t>Age</t>
  </si>
  <si>
    <t>IMC</t>
  </si>
  <si>
    <t>Nature</t>
  </si>
  <si>
    <t>20/01/2004</t>
  </si>
  <si>
    <t>Doliprane</t>
  </si>
  <si>
    <t>Toux</t>
  </si>
  <si>
    <t>20/02/2010</t>
  </si>
  <si>
    <t>25/02/2010</t>
  </si>
  <si>
    <t>Poids normal</t>
  </si>
  <si>
    <t>Gauche</t>
  </si>
  <si>
    <t>Feminin</t>
  </si>
  <si>
    <t>Negatif</t>
  </si>
  <si>
    <t xml:space="preserve">Non Grave  </t>
  </si>
  <si>
    <t>Ventoline</t>
  </si>
  <si>
    <t>Respiration aigue</t>
  </si>
  <si>
    <t>20/05/2019</t>
  </si>
  <si>
    <t>20/06/2019</t>
  </si>
  <si>
    <t>Masculin</t>
  </si>
  <si>
    <t>Aspirine</t>
  </si>
  <si>
    <t>Vision Floue</t>
  </si>
  <si>
    <t>Surpoids</t>
  </si>
  <si>
    <t>Eri</t>
  </si>
  <si>
    <t>Vertiges,Nausées</t>
  </si>
  <si>
    <t>25/03/2019</t>
  </si>
  <si>
    <t>30/03/2019</t>
  </si>
  <si>
    <t>Droite</t>
  </si>
  <si>
    <t>Grave</t>
  </si>
  <si>
    <t>20/03/1991</t>
  </si>
  <si>
    <t>Genset</t>
  </si>
  <si>
    <t>Démengeaison</t>
  </si>
  <si>
    <t>15/10/2019</t>
  </si>
  <si>
    <t>Méquitazine</t>
  </si>
  <si>
    <t>Hypertension</t>
  </si>
  <si>
    <t>25/12/2019</t>
  </si>
  <si>
    <t>Obésité modérée</t>
  </si>
  <si>
    <t>20/10/2019</t>
  </si>
  <si>
    <t>Mallox</t>
  </si>
  <si>
    <t>Constipation</t>
  </si>
  <si>
    <t>22/09/2019</t>
  </si>
  <si>
    <t>Maigreur</t>
  </si>
  <si>
    <t>25/04/1979</t>
  </si>
  <si>
    <t>Allergine</t>
  </si>
  <si>
    <t>Hémorragie</t>
  </si>
  <si>
    <t>23/03/2019</t>
  </si>
  <si>
    <t>Vertige</t>
  </si>
  <si>
    <t>28/10/2002</t>
  </si>
  <si>
    <t>Gaviscon</t>
  </si>
  <si>
    <t>Ballonnement</t>
  </si>
  <si>
    <t>19/12/2019</t>
  </si>
  <si>
    <t>28/10/2000</t>
  </si>
  <si>
    <t>Omegen</t>
  </si>
  <si>
    <t>19/01/2019</t>
  </si>
  <si>
    <t>Fébrilex</t>
  </si>
  <si>
    <t>Vomissement</t>
  </si>
  <si>
    <t>14/04/2019</t>
  </si>
  <si>
    <t>Antinorex</t>
  </si>
  <si>
    <t>Vertiges,Fatigues</t>
  </si>
  <si>
    <t>Flagyl</t>
  </si>
  <si>
    <t>Brulures d'estomac</t>
  </si>
  <si>
    <t>Obésité sévère</t>
  </si>
  <si>
    <t>Héliconacter</t>
  </si>
  <si>
    <t>Hémorragie Digestive</t>
  </si>
  <si>
    <t>Ubiprofene</t>
  </si>
  <si>
    <t>Vertiges</t>
  </si>
  <si>
    <t>Perfalgan</t>
  </si>
  <si>
    <t>Tremblements</t>
  </si>
  <si>
    <t>Amoxicilline</t>
  </si>
  <si>
    <t>27/06/2019</t>
  </si>
  <si>
    <t>30/06/2019</t>
  </si>
  <si>
    <t>Efferalgan</t>
  </si>
  <si>
    <t>Somnolence</t>
  </si>
  <si>
    <t>24/04/1962</t>
  </si>
  <si>
    <t>Dynamogène</t>
  </si>
  <si>
    <t>30/12/2019</t>
  </si>
  <si>
    <t>24/04/1997</t>
  </si>
  <si>
    <t>Antadys</t>
  </si>
  <si>
    <t>Crampes musculaires</t>
  </si>
  <si>
    <t>25/02/2019</t>
  </si>
  <si>
    <t>29/02/2019</t>
  </si>
  <si>
    <t>27/04/1997</t>
  </si>
  <si>
    <t>Novalgin</t>
  </si>
  <si>
    <t>Difficulté respiratoire</t>
  </si>
  <si>
    <t>Obésité morbide ou massive</t>
  </si>
  <si>
    <t>27/04/1965</t>
  </si>
  <si>
    <t>Sérétide</t>
  </si>
  <si>
    <t>Démangeaison</t>
  </si>
  <si>
    <t>25/09/2019</t>
  </si>
  <si>
    <t>20/11/2019</t>
  </si>
  <si>
    <t>Hallucinations</t>
  </si>
  <si>
    <t>Paracétamol</t>
  </si>
  <si>
    <t>Nausées</t>
  </si>
  <si>
    <t>Omégen</t>
  </si>
  <si>
    <t>Ballonements</t>
  </si>
  <si>
    <t>27/02/2019</t>
  </si>
  <si>
    <t>30/02/2019</t>
  </si>
  <si>
    <t>28/10/1996</t>
  </si>
  <si>
    <t>27/07/2019</t>
  </si>
  <si>
    <t>28/10/1992</t>
  </si>
  <si>
    <t>Bipreterax</t>
  </si>
  <si>
    <t>Accéleration rythme cardiaque</t>
  </si>
  <si>
    <t>15/07/2019</t>
  </si>
  <si>
    <t>Erruption Cutanée</t>
  </si>
  <si>
    <t>21/07/2019</t>
  </si>
  <si>
    <t>Allegine</t>
  </si>
  <si>
    <t>Erruption cutanée</t>
  </si>
  <si>
    <t>15/04/1989</t>
  </si>
  <si>
    <t>ilax</t>
  </si>
  <si>
    <t>Vomissemnets</t>
  </si>
  <si>
    <t>19/04/1989</t>
  </si>
  <si>
    <t>Ventolline</t>
  </si>
  <si>
    <t>17/07/2019</t>
  </si>
  <si>
    <t>19/04/1970</t>
  </si>
  <si>
    <t>Crampes musculaire</t>
  </si>
  <si>
    <t>17/09/2019</t>
  </si>
  <si>
    <t>21/09/2019</t>
  </si>
  <si>
    <t>19/04/1956</t>
  </si>
  <si>
    <t>Crampe musculaire</t>
  </si>
  <si>
    <t>15/09/2019</t>
  </si>
  <si>
    <t>19/09/2019</t>
  </si>
  <si>
    <t>19/04/1948</t>
  </si>
  <si>
    <t>Alvityl</t>
  </si>
  <si>
    <t>15/12/2019</t>
  </si>
  <si>
    <t>31/12/2019</t>
  </si>
  <si>
    <t>30/07/1952</t>
  </si>
  <si>
    <t>Magnesium</t>
  </si>
  <si>
    <t>Crampes</t>
  </si>
  <si>
    <t>14/12/2019</t>
  </si>
  <si>
    <t>31/01/1999</t>
  </si>
  <si>
    <t>25/05/1957</t>
  </si>
  <si>
    <t>Temblements</t>
  </si>
  <si>
    <t>Dilatation des papilles</t>
  </si>
  <si>
    <t>Céphalées</t>
  </si>
  <si>
    <t>15/05/1990</t>
  </si>
  <si>
    <t>18/11/1990</t>
  </si>
  <si>
    <t>Maalox</t>
  </si>
  <si>
    <t>20/01/2019</t>
  </si>
  <si>
    <t>Vomissements</t>
  </si>
  <si>
    <t>24/11/2019</t>
  </si>
  <si>
    <t>26/11/1990</t>
  </si>
  <si>
    <t>20/01/2007</t>
  </si>
  <si>
    <t>25/11/2019</t>
  </si>
  <si>
    <t>27/11/2019</t>
  </si>
  <si>
    <t>22/03/2001</t>
  </si>
  <si>
    <t>30/11/2019</t>
  </si>
  <si>
    <t>20/03/2010</t>
  </si>
  <si>
    <t>Bioreterax</t>
  </si>
  <si>
    <t>25/01/2019</t>
  </si>
  <si>
    <t>14/02/1999</t>
  </si>
  <si>
    <t>14/02/1978</t>
  </si>
  <si>
    <t>15/01/2019</t>
  </si>
  <si>
    <t>24/02/1978</t>
  </si>
  <si>
    <t>15/02/2019</t>
  </si>
  <si>
    <t>21/02/2019</t>
  </si>
  <si>
    <t>24/02/1992</t>
  </si>
  <si>
    <t>Problèmes Respiration</t>
  </si>
  <si>
    <t>15/03/2019</t>
  </si>
  <si>
    <t>21/04/2019</t>
  </si>
  <si>
    <t>Problème Respiration</t>
  </si>
  <si>
    <t>22/03/2019</t>
  </si>
  <si>
    <t>Litacold</t>
  </si>
  <si>
    <t>22/09/1998</t>
  </si>
  <si>
    <t>22/11/2019</t>
  </si>
  <si>
    <t>22/09/1951</t>
  </si>
  <si>
    <t>22/09/1986</t>
  </si>
  <si>
    <t>Démangeaisons</t>
  </si>
  <si>
    <t>22/09/1993</t>
  </si>
  <si>
    <t>Allergines</t>
  </si>
  <si>
    <t>22/07/2019</t>
  </si>
  <si>
    <t>25/07/2019</t>
  </si>
  <si>
    <t>22/09/1990</t>
  </si>
  <si>
    <t>Febrilex</t>
  </si>
  <si>
    <t>22/12/2019</t>
  </si>
  <si>
    <t>22/09/2005</t>
  </si>
  <si>
    <t>22/09/2015</t>
  </si>
  <si>
    <t>22/09/2000</t>
  </si>
  <si>
    <t>21/01/20120</t>
  </si>
  <si>
    <t>22/09/1995</t>
  </si>
  <si>
    <t>Dhiarrhée</t>
  </si>
  <si>
    <t>21/01/2020</t>
  </si>
  <si>
    <t>Crampes pulmonaires</t>
  </si>
  <si>
    <t>21/12/2019</t>
  </si>
  <si>
    <t>22/09/1981</t>
  </si>
  <si>
    <t>23/10/1991</t>
  </si>
  <si>
    <t>Augmentation rythme cardiaque</t>
  </si>
  <si>
    <t>23/06/1949</t>
  </si>
  <si>
    <t>16/09/2019</t>
  </si>
  <si>
    <t>Enfflements</t>
  </si>
  <si>
    <t>20/02/2019</t>
  </si>
  <si>
    <t>25/04/2019</t>
  </si>
  <si>
    <t>17/06/2019</t>
  </si>
  <si>
    <t>Bipretax</t>
  </si>
  <si>
    <t>Accélération rythme cardiaque</t>
  </si>
  <si>
    <t>22/08/2019</t>
  </si>
  <si>
    <t>Amoxiciline</t>
  </si>
  <si>
    <t>Fatigue</t>
  </si>
  <si>
    <t>15/04/2019</t>
  </si>
  <si>
    <t>18/04/2019</t>
  </si>
  <si>
    <t>Diarrhée</t>
  </si>
  <si>
    <t>15/11/2019</t>
  </si>
  <si>
    <t>27/10/2019</t>
  </si>
  <si>
    <t>30/10/2019</t>
  </si>
  <si>
    <t>anorexie</t>
  </si>
  <si>
    <t xml:space="preserve"> anorexie</t>
  </si>
  <si>
    <t>Sérétine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</si>
</sst>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Part</a:t>
            </a:r>
            <a:r>
              <a:rPr lang="fr-FR" baseline="0"/>
              <a:t> des personnes exprimant une nature</a:t>
            </a:r>
            <a:endParaRPr lang="fr-FR"/>
          </a:p>
        </c:rich>
      </c:tx>
      <c:layout>
        <c:manualLayout>
          <c:xMode val="edge"/>
          <c:yMode val="edge"/>
          <c:x val="0.21879408418657564"/>
          <c:y val="6.4814814814814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Feuil1!$A$1:$G$1</c:f>
              <c:strCache>
                <c:ptCount val="7"/>
                <c:pt idx="0">
                  <c:v> anorexie</c:v>
                </c:pt>
                <c:pt idx="1">
                  <c:v>Maigreur</c:v>
                </c:pt>
                <c:pt idx="2">
                  <c:v>Poids normal</c:v>
                </c:pt>
                <c:pt idx="3">
                  <c:v>Surpoids</c:v>
                </c:pt>
                <c:pt idx="4">
                  <c:v>Obésité modérée</c:v>
                </c:pt>
                <c:pt idx="5">
                  <c:v>Obésité sévère</c:v>
                </c:pt>
                <c:pt idx="6">
                  <c:v>Obésité morbide ou massive</c:v>
                </c:pt>
              </c:strCache>
            </c:strRef>
          </c:cat>
          <c:val>
            <c:numRef>
              <c:f>Feuil1!$A$2:$G$2</c:f>
              <c:numCache>
                <c:formatCode>General</c:formatCode>
                <c:ptCount val="7"/>
                <c:pt idx="0">
                  <c:v>5</c:v>
                </c:pt>
                <c:pt idx="1">
                  <c:v>13</c:v>
                </c:pt>
                <c:pt idx="2">
                  <c:v>27</c:v>
                </c:pt>
                <c:pt idx="3">
                  <c:v>33</c:v>
                </c:pt>
                <c:pt idx="4">
                  <c:v>15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2231239866348E-2"/>
          <c:y val="0.73553076698745978"/>
          <c:w val="0.73752057691817652"/>
          <c:h val="0.21163322633376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/>
              <a:t>Part occupée par chaque médicaments</a:t>
            </a:r>
          </a:p>
        </c:rich>
      </c:tx>
      <c:layout>
        <c:manualLayout>
          <c:xMode val="edge"/>
          <c:yMode val="edge"/>
          <c:x val="0.22943684967760078"/>
          <c:y val="3.57342204048729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Feuil1!$A$5:$A$36</c:f>
              <c:strCache>
                <c:ptCount val="32"/>
                <c:pt idx="0">
                  <c:v>Doliprane</c:v>
                </c:pt>
                <c:pt idx="1">
                  <c:v>Ventoline</c:v>
                </c:pt>
                <c:pt idx="2">
                  <c:v>Aspirine</c:v>
                </c:pt>
                <c:pt idx="3">
                  <c:v>Eri</c:v>
                </c:pt>
                <c:pt idx="4">
                  <c:v>Genset</c:v>
                </c:pt>
                <c:pt idx="5">
                  <c:v>Méquitazine</c:v>
                </c:pt>
                <c:pt idx="6">
                  <c:v>Mallox</c:v>
                </c:pt>
                <c:pt idx="7">
                  <c:v>Allergine</c:v>
                </c:pt>
                <c:pt idx="8">
                  <c:v>Doliprane</c:v>
                </c:pt>
                <c:pt idx="9">
                  <c:v>Gaviscon</c:v>
                </c:pt>
                <c:pt idx="10">
                  <c:v>Omegen</c:v>
                </c:pt>
                <c:pt idx="11">
                  <c:v>Fébrilex</c:v>
                </c:pt>
                <c:pt idx="12">
                  <c:v>Antinorex</c:v>
                </c:pt>
                <c:pt idx="13">
                  <c:v>Flagyl</c:v>
                </c:pt>
                <c:pt idx="14">
                  <c:v>Héliconacter</c:v>
                </c:pt>
                <c:pt idx="15">
                  <c:v>Ubiprofene</c:v>
                </c:pt>
                <c:pt idx="16">
                  <c:v>Perfalgan</c:v>
                </c:pt>
                <c:pt idx="17">
                  <c:v>Amoxicilline</c:v>
                </c:pt>
                <c:pt idx="18">
                  <c:v>Efferalgan</c:v>
                </c:pt>
                <c:pt idx="19">
                  <c:v>Dynamogène</c:v>
                </c:pt>
                <c:pt idx="20">
                  <c:v>Antadys</c:v>
                </c:pt>
                <c:pt idx="21">
                  <c:v>Novalgin</c:v>
                </c:pt>
                <c:pt idx="22">
                  <c:v>Sérétide</c:v>
                </c:pt>
                <c:pt idx="23">
                  <c:v>Aspirine</c:v>
                </c:pt>
                <c:pt idx="24">
                  <c:v>Paracétamol</c:v>
                </c:pt>
                <c:pt idx="25">
                  <c:v>Bipreterax</c:v>
                </c:pt>
                <c:pt idx="26">
                  <c:v>ilax</c:v>
                </c:pt>
                <c:pt idx="27">
                  <c:v>Ventolline</c:v>
                </c:pt>
                <c:pt idx="28">
                  <c:v>Alvityl</c:v>
                </c:pt>
                <c:pt idx="29">
                  <c:v>Magnesium</c:v>
                </c:pt>
                <c:pt idx="30">
                  <c:v>Bioreterax</c:v>
                </c:pt>
                <c:pt idx="31">
                  <c:v>Litacold</c:v>
                </c:pt>
              </c:strCache>
            </c:strRef>
          </c:cat>
          <c:val>
            <c:numRef>
              <c:f>Feuil1!$B$5:$B$36</c:f>
              <c:numCache>
                <c:formatCode>General</c:formatCode>
                <c:ptCount val="32"/>
                <c:pt idx="0">
                  <c:v>2</c:v>
                </c:pt>
                <c:pt idx="1">
                  <c:v>5</c:v>
                </c:pt>
                <c:pt idx="2">
                  <c:v>14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5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11</c:v>
                </c:pt>
                <c:pt idx="23">
                  <c:v>14</c:v>
                </c:pt>
                <c:pt idx="24">
                  <c:v>1</c:v>
                </c:pt>
                <c:pt idx="25">
                  <c:v>4</c:v>
                </c:pt>
                <c:pt idx="26">
                  <c:v>2</c:v>
                </c:pt>
                <c:pt idx="27">
                  <c:v>1</c:v>
                </c:pt>
                <c:pt idx="28">
                  <c:v>3</c:v>
                </c:pt>
                <c:pt idx="29">
                  <c:v>1</c:v>
                </c:pt>
                <c:pt idx="30">
                  <c:v>1</c:v>
                </c:pt>
                <c:pt idx="31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-348029328"/>
        <c:axId val="-348841776"/>
      </c:barChart>
      <c:catAx>
        <c:axId val="-34802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MEDICAMENTS</a:t>
                </a:r>
              </a:p>
            </c:rich>
          </c:tx>
          <c:layout>
            <c:manualLayout>
              <c:xMode val="edge"/>
              <c:yMode val="edge"/>
              <c:x val="0.43374102981941626"/>
              <c:y val="0.888397387040647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348841776"/>
        <c:crosses val="autoZero"/>
        <c:auto val="1"/>
        <c:lblAlgn val="ctr"/>
        <c:lblOffset val="100"/>
        <c:noMultiLvlLbl val="0"/>
      </c:catAx>
      <c:valAx>
        <c:axId val="-34884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34802932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Donnees!$F$1</c:f>
              <c:strCache>
                <c:ptCount val="1"/>
                <c:pt idx="0">
                  <c:v>Poids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Donnees!$E$2:$E$101</c:f>
              <c:numCache>
                <c:formatCode>General</c:formatCode>
                <c:ptCount val="100"/>
                <c:pt idx="0">
                  <c:v>165</c:v>
                </c:pt>
                <c:pt idx="1">
                  <c:v>180</c:v>
                </c:pt>
                <c:pt idx="2">
                  <c:v>169</c:v>
                </c:pt>
                <c:pt idx="3">
                  <c:v>187</c:v>
                </c:pt>
                <c:pt idx="4">
                  <c:v>182</c:v>
                </c:pt>
                <c:pt idx="5">
                  <c:v>171</c:v>
                </c:pt>
                <c:pt idx="6">
                  <c:v>175</c:v>
                </c:pt>
                <c:pt idx="7">
                  <c:v>181</c:v>
                </c:pt>
                <c:pt idx="8">
                  <c:v>169</c:v>
                </c:pt>
                <c:pt idx="9">
                  <c:v>190</c:v>
                </c:pt>
                <c:pt idx="10">
                  <c:v>170</c:v>
                </c:pt>
                <c:pt idx="11">
                  <c:v>170</c:v>
                </c:pt>
                <c:pt idx="12">
                  <c:v>159</c:v>
                </c:pt>
                <c:pt idx="13">
                  <c:v>182</c:v>
                </c:pt>
                <c:pt idx="14">
                  <c:v>172</c:v>
                </c:pt>
                <c:pt idx="15">
                  <c:v>172</c:v>
                </c:pt>
                <c:pt idx="16">
                  <c:v>172</c:v>
                </c:pt>
                <c:pt idx="17">
                  <c:v>155</c:v>
                </c:pt>
                <c:pt idx="18">
                  <c:v>162</c:v>
                </c:pt>
                <c:pt idx="19">
                  <c:v>130</c:v>
                </c:pt>
                <c:pt idx="20">
                  <c:v>170</c:v>
                </c:pt>
                <c:pt idx="21">
                  <c:v>170</c:v>
                </c:pt>
                <c:pt idx="22">
                  <c:v>167</c:v>
                </c:pt>
                <c:pt idx="23">
                  <c:v>186</c:v>
                </c:pt>
                <c:pt idx="24">
                  <c:v>186</c:v>
                </c:pt>
                <c:pt idx="25">
                  <c:v>186</c:v>
                </c:pt>
                <c:pt idx="26">
                  <c:v>166</c:v>
                </c:pt>
                <c:pt idx="27">
                  <c:v>166</c:v>
                </c:pt>
                <c:pt idx="28">
                  <c:v>155</c:v>
                </c:pt>
                <c:pt idx="29">
                  <c:v>170</c:v>
                </c:pt>
                <c:pt idx="30">
                  <c:v>170</c:v>
                </c:pt>
                <c:pt idx="31">
                  <c:v>178</c:v>
                </c:pt>
                <c:pt idx="32">
                  <c:v>178</c:v>
                </c:pt>
                <c:pt idx="33">
                  <c:v>178</c:v>
                </c:pt>
                <c:pt idx="34">
                  <c:v>180</c:v>
                </c:pt>
                <c:pt idx="35">
                  <c:v>180</c:v>
                </c:pt>
                <c:pt idx="36">
                  <c:v>159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179</c:v>
                </c:pt>
                <c:pt idx="42">
                  <c:v>196</c:v>
                </c:pt>
                <c:pt idx="43">
                  <c:v>161</c:v>
                </c:pt>
                <c:pt idx="44">
                  <c:v>171</c:v>
                </c:pt>
                <c:pt idx="45">
                  <c:v>161</c:v>
                </c:pt>
                <c:pt idx="46">
                  <c:v>171</c:v>
                </c:pt>
                <c:pt idx="47">
                  <c:v>191</c:v>
                </c:pt>
                <c:pt idx="48">
                  <c:v>191</c:v>
                </c:pt>
                <c:pt idx="49">
                  <c:v>120</c:v>
                </c:pt>
                <c:pt idx="50">
                  <c:v>167</c:v>
                </c:pt>
                <c:pt idx="51">
                  <c:v>145</c:v>
                </c:pt>
                <c:pt idx="52">
                  <c:v>145</c:v>
                </c:pt>
                <c:pt idx="53">
                  <c:v>172</c:v>
                </c:pt>
                <c:pt idx="54">
                  <c:v>192</c:v>
                </c:pt>
                <c:pt idx="55">
                  <c:v>192</c:v>
                </c:pt>
                <c:pt idx="56">
                  <c:v>162</c:v>
                </c:pt>
                <c:pt idx="57">
                  <c:v>162</c:v>
                </c:pt>
                <c:pt idx="58">
                  <c:v>162</c:v>
                </c:pt>
                <c:pt idx="59">
                  <c:v>162</c:v>
                </c:pt>
                <c:pt idx="60">
                  <c:v>187</c:v>
                </c:pt>
                <c:pt idx="61">
                  <c:v>187</c:v>
                </c:pt>
                <c:pt idx="62">
                  <c:v>187</c:v>
                </c:pt>
                <c:pt idx="63">
                  <c:v>187</c:v>
                </c:pt>
                <c:pt idx="64">
                  <c:v>187</c:v>
                </c:pt>
                <c:pt idx="65">
                  <c:v>187</c:v>
                </c:pt>
                <c:pt idx="66">
                  <c:v>187</c:v>
                </c:pt>
                <c:pt idx="67">
                  <c:v>187</c:v>
                </c:pt>
                <c:pt idx="68">
                  <c:v>187</c:v>
                </c:pt>
                <c:pt idx="69">
                  <c:v>187</c:v>
                </c:pt>
                <c:pt idx="70">
                  <c:v>187</c:v>
                </c:pt>
                <c:pt idx="71">
                  <c:v>187</c:v>
                </c:pt>
                <c:pt idx="72">
                  <c:v>195</c:v>
                </c:pt>
                <c:pt idx="73">
                  <c:v>195</c:v>
                </c:pt>
                <c:pt idx="74">
                  <c:v>195</c:v>
                </c:pt>
                <c:pt idx="75">
                  <c:v>195</c:v>
                </c:pt>
                <c:pt idx="76">
                  <c:v>156</c:v>
                </c:pt>
                <c:pt idx="77">
                  <c:v>156</c:v>
                </c:pt>
                <c:pt idx="78">
                  <c:v>156</c:v>
                </c:pt>
                <c:pt idx="79">
                  <c:v>156</c:v>
                </c:pt>
                <c:pt idx="80">
                  <c:v>156</c:v>
                </c:pt>
                <c:pt idx="81">
                  <c:v>176</c:v>
                </c:pt>
                <c:pt idx="82">
                  <c:v>195</c:v>
                </c:pt>
                <c:pt idx="83">
                  <c:v>195</c:v>
                </c:pt>
                <c:pt idx="84">
                  <c:v>185</c:v>
                </c:pt>
                <c:pt idx="85">
                  <c:v>155</c:v>
                </c:pt>
                <c:pt idx="86">
                  <c:v>155</c:v>
                </c:pt>
                <c:pt idx="87">
                  <c:v>165</c:v>
                </c:pt>
                <c:pt idx="88">
                  <c:v>165</c:v>
                </c:pt>
                <c:pt idx="89">
                  <c:v>175</c:v>
                </c:pt>
                <c:pt idx="90">
                  <c:v>160</c:v>
                </c:pt>
                <c:pt idx="91">
                  <c:v>173</c:v>
                </c:pt>
                <c:pt idx="92">
                  <c:v>187</c:v>
                </c:pt>
                <c:pt idx="93">
                  <c:v>180</c:v>
                </c:pt>
                <c:pt idx="94">
                  <c:v>180</c:v>
                </c:pt>
                <c:pt idx="95">
                  <c:v>180</c:v>
                </c:pt>
                <c:pt idx="96">
                  <c:v>180</c:v>
                </c:pt>
                <c:pt idx="97">
                  <c:v>165</c:v>
                </c:pt>
                <c:pt idx="98">
                  <c:v>165</c:v>
                </c:pt>
                <c:pt idx="99">
                  <c:v>117</c:v>
                </c:pt>
              </c:numCache>
            </c:numRef>
          </c:xVal>
          <c:yVal>
            <c:numRef>
              <c:f>Donnees!$F$2:$F$101</c:f>
              <c:numCache>
                <c:formatCode>General</c:formatCode>
                <c:ptCount val="100"/>
                <c:pt idx="0">
                  <c:v>55</c:v>
                </c:pt>
                <c:pt idx="1">
                  <c:v>70</c:v>
                </c:pt>
                <c:pt idx="2">
                  <c:v>80</c:v>
                </c:pt>
                <c:pt idx="3">
                  <c:v>76</c:v>
                </c:pt>
                <c:pt idx="4">
                  <c:v>93</c:v>
                </c:pt>
                <c:pt idx="5">
                  <c:v>90</c:v>
                </c:pt>
                <c:pt idx="6">
                  <c:v>55</c:v>
                </c:pt>
                <c:pt idx="7">
                  <c:v>91</c:v>
                </c:pt>
                <c:pt idx="8">
                  <c:v>60</c:v>
                </c:pt>
                <c:pt idx="9">
                  <c:v>110</c:v>
                </c:pt>
                <c:pt idx="10">
                  <c:v>45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110</c:v>
                </c:pt>
                <c:pt idx="15">
                  <c:v>58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25</c:v>
                </c:pt>
                <c:pt idx="20">
                  <c:v>95</c:v>
                </c:pt>
                <c:pt idx="21">
                  <c:v>55</c:v>
                </c:pt>
                <c:pt idx="22">
                  <c:v>115</c:v>
                </c:pt>
                <c:pt idx="23">
                  <c:v>115</c:v>
                </c:pt>
                <c:pt idx="24">
                  <c:v>65</c:v>
                </c:pt>
                <c:pt idx="25">
                  <c:v>62</c:v>
                </c:pt>
                <c:pt idx="26">
                  <c:v>69</c:v>
                </c:pt>
                <c:pt idx="27">
                  <c:v>80</c:v>
                </c:pt>
                <c:pt idx="28">
                  <c:v>101</c:v>
                </c:pt>
                <c:pt idx="29">
                  <c:v>46</c:v>
                </c:pt>
                <c:pt idx="30">
                  <c:v>89</c:v>
                </c:pt>
                <c:pt idx="31">
                  <c:v>89</c:v>
                </c:pt>
                <c:pt idx="32">
                  <c:v>54</c:v>
                </c:pt>
                <c:pt idx="33">
                  <c:v>54</c:v>
                </c:pt>
                <c:pt idx="34">
                  <c:v>76</c:v>
                </c:pt>
                <c:pt idx="35">
                  <c:v>103</c:v>
                </c:pt>
                <c:pt idx="36">
                  <c:v>76</c:v>
                </c:pt>
                <c:pt idx="37">
                  <c:v>90</c:v>
                </c:pt>
                <c:pt idx="38">
                  <c:v>96</c:v>
                </c:pt>
                <c:pt idx="39">
                  <c:v>87</c:v>
                </c:pt>
                <c:pt idx="40">
                  <c:v>62</c:v>
                </c:pt>
                <c:pt idx="41">
                  <c:v>68</c:v>
                </c:pt>
                <c:pt idx="42">
                  <c:v>65</c:v>
                </c:pt>
                <c:pt idx="43">
                  <c:v>65</c:v>
                </c:pt>
                <c:pt idx="44">
                  <c:v>76</c:v>
                </c:pt>
                <c:pt idx="45">
                  <c:v>76</c:v>
                </c:pt>
                <c:pt idx="46">
                  <c:v>86</c:v>
                </c:pt>
                <c:pt idx="47">
                  <c:v>80</c:v>
                </c:pt>
                <c:pt idx="48">
                  <c:v>87</c:v>
                </c:pt>
                <c:pt idx="49">
                  <c:v>20</c:v>
                </c:pt>
                <c:pt idx="50">
                  <c:v>87</c:v>
                </c:pt>
                <c:pt idx="51">
                  <c:v>42</c:v>
                </c:pt>
                <c:pt idx="52">
                  <c:v>68</c:v>
                </c:pt>
                <c:pt idx="53">
                  <c:v>104</c:v>
                </c:pt>
                <c:pt idx="54">
                  <c:v>110</c:v>
                </c:pt>
                <c:pt idx="55">
                  <c:v>89</c:v>
                </c:pt>
                <c:pt idx="56">
                  <c:v>96</c:v>
                </c:pt>
                <c:pt idx="57">
                  <c:v>93</c:v>
                </c:pt>
                <c:pt idx="58">
                  <c:v>65</c:v>
                </c:pt>
                <c:pt idx="59">
                  <c:v>65</c:v>
                </c:pt>
                <c:pt idx="60">
                  <c:v>71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61</c:v>
                </c:pt>
                <c:pt idx="70">
                  <c:v>61</c:v>
                </c:pt>
                <c:pt idx="71">
                  <c:v>61</c:v>
                </c:pt>
                <c:pt idx="72">
                  <c:v>61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56</c:v>
                </c:pt>
                <c:pt idx="81">
                  <c:v>40</c:v>
                </c:pt>
                <c:pt idx="82">
                  <c:v>51</c:v>
                </c:pt>
                <c:pt idx="83">
                  <c:v>51</c:v>
                </c:pt>
                <c:pt idx="84">
                  <c:v>71</c:v>
                </c:pt>
                <c:pt idx="85">
                  <c:v>71</c:v>
                </c:pt>
                <c:pt idx="86">
                  <c:v>71</c:v>
                </c:pt>
                <c:pt idx="87">
                  <c:v>71</c:v>
                </c:pt>
                <c:pt idx="88">
                  <c:v>81</c:v>
                </c:pt>
                <c:pt idx="89">
                  <c:v>91</c:v>
                </c:pt>
                <c:pt idx="90">
                  <c:v>91</c:v>
                </c:pt>
                <c:pt idx="91">
                  <c:v>72</c:v>
                </c:pt>
                <c:pt idx="92">
                  <c:v>59</c:v>
                </c:pt>
                <c:pt idx="93">
                  <c:v>91</c:v>
                </c:pt>
                <c:pt idx="94">
                  <c:v>54</c:v>
                </c:pt>
                <c:pt idx="95">
                  <c:v>84</c:v>
                </c:pt>
                <c:pt idx="96">
                  <c:v>84</c:v>
                </c:pt>
                <c:pt idx="97">
                  <c:v>96</c:v>
                </c:pt>
                <c:pt idx="98">
                  <c:v>61</c:v>
                </c:pt>
                <c:pt idx="99">
                  <c:v>116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48840688"/>
        <c:axId val="-348834160"/>
      </c:scatterChart>
      <c:valAx>
        <c:axId val="-34884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348834160"/>
        <c:crosses val="autoZero"/>
        <c:crossBetween val="midCat"/>
      </c:valAx>
      <c:valAx>
        <c:axId val="-34883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34884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</xdr:row>
          <xdr:rowOff>114300</xdr:rowOff>
        </xdr:from>
        <xdr:to>
          <xdr:col>9</xdr:col>
          <xdr:colOff>333375</xdr:colOff>
          <xdr:row>5</xdr:row>
          <xdr:rowOff>161925</xdr:rowOff>
        </xdr:to>
        <xdr:sp macro="" textlink="">
          <xdr:nvSpPr>
            <xdr:cNvPr id="1025" name="saisi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7</xdr:row>
          <xdr:rowOff>38100</xdr:rowOff>
        </xdr:from>
        <xdr:to>
          <xdr:col>9</xdr:col>
          <xdr:colOff>342900</xdr:colOff>
          <xdr:row>11</xdr:row>
          <xdr:rowOff>114300</xdr:rowOff>
        </xdr:to>
        <xdr:sp macro="" textlink="">
          <xdr:nvSpPr>
            <xdr:cNvPr id="1026" name="suiv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12</xdr:row>
          <xdr:rowOff>104775</xdr:rowOff>
        </xdr:from>
        <xdr:to>
          <xdr:col>9</xdr:col>
          <xdr:colOff>342900</xdr:colOff>
          <xdr:row>16</xdr:row>
          <xdr:rowOff>104775</xdr:rowOff>
        </xdr:to>
        <xdr:sp macro="" textlink="">
          <xdr:nvSpPr>
            <xdr:cNvPr id="1027" name="viz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17</xdr:row>
          <xdr:rowOff>123825</xdr:rowOff>
        </xdr:from>
        <xdr:to>
          <xdr:col>9</xdr:col>
          <xdr:colOff>342900</xdr:colOff>
          <xdr:row>21</xdr:row>
          <xdr:rowOff>123825</xdr:rowOff>
        </xdr:to>
        <xdr:sp macro="" textlink="">
          <xdr:nvSpPr>
            <xdr:cNvPr id="1028" name="quitter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</xdr:colOff>
      <xdr:row>2</xdr:row>
      <xdr:rowOff>133350</xdr:rowOff>
    </xdr:from>
    <xdr:to>
      <xdr:col>7</xdr:col>
      <xdr:colOff>9525</xdr:colOff>
      <xdr:row>18</xdr:row>
      <xdr:rowOff>33337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142876</xdr:colOff>
      <xdr:row>3</xdr:row>
      <xdr:rowOff>71436</xdr:rowOff>
    </xdr:from>
    <xdr:to>
      <xdr:col>11</xdr:col>
      <xdr:colOff>419100</xdr:colOff>
      <xdr:row>18</xdr:row>
      <xdr:rowOff>57149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4</xdr:row>
      <xdr:rowOff>114299</xdr:rowOff>
    </xdr:from>
    <xdr:to>
      <xdr:col>11</xdr:col>
      <xdr:colOff>352425</xdr:colOff>
      <xdr:row>19</xdr:row>
      <xdr:rowOff>104774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A1:W101" totalsRowShown="0">
  <autoFilter ref="A1:W101"/>
  <tableColumns count="23">
    <tableColumn id="1" name="IdPatient"/>
    <tableColumn id="2" name="BrasTrait"/>
    <tableColumn id="3" name="Sexe"/>
    <tableColumn id="4" name="DateNaiss"/>
    <tableColumn id="5" name="Taille"/>
    <tableColumn id="6" name="Poids"/>
    <tableColumn id="7" name="ResTG"/>
    <tableColumn id="8" name="Gepaisse"/>
    <tableColumn id="9" name="PStemie"/>
    <tableColumn id="10" name="Spot_Sang"/>
    <tableColumn id="11" name="EIndes"/>
    <tableColumn id="12" name="Medic"/>
    <tableColumn id="13" name="DescrEI"/>
    <tableColumn id="14" name="Date_Debut"/>
    <tableColumn id="15" name="Date_Fin"/>
    <tableColumn id="16" name="Intensité"/>
    <tableColumn id="17" name="Gravite"/>
    <tableColumn id="18" name="ActPriseEI"/>
    <tableColumn id="19" name="DevSuiteEI"/>
    <tableColumn id="20" name="RelAvecTrait"/>
    <tableColumn id="21" name="Age"/>
    <tableColumn id="22" name="IMC"/>
    <tableColumn id="23" name="Natur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"/>
  <sheetViews>
    <sheetView tabSelected="1" workbookViewId="0">
      <selection activeCell="K12" sqref="K12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quitter">
          <controlPr autoLine="0" autoPict="0" r:id="rId4">
            <anchor moveWithCells="1">
              <from>
                <xdr:col>5</xdr:col>
                <xdr:colOff>152400</xdr:colOff>
                <xdr:row>17</xdr:row>
                <xdr:rowOff>123825</xdr:rowOff>
              </from>
              <to>
                <xdr:col>9</xdr:col>
                <xdr:colOff>342900</xdr:colOff>
                <xdr:row>21</xdr:row>
                <xdr:rowOff>123825</xdr:rowOff>
              </to>
            </anchor>
          </controlPr>
        </control>
      </mc:Choice>
      <mc:Fallback>
        <control shapeId="1028" r:id="rId3" name="quitter"/>
      </mc:Fallback>
    </mc:AlternateContent>
    <mc:AlternateContent xmlns:mc="http://schemas.openxmlformats.org/markup-compatibility/2006">
      <mc:Choice Requires="x14">
        <control shapeId="1027" r:id="rId5" name="viz">
          <controlPr autoLine="0" autoPict="0" r:id="rId6">
            <anchor moveWithCells="1">
              <from>
                <xdr:col>5</xdr:col>
                <xdr:colOff>152400</xdr:colOff>
                <xdr:row>12</xdr:row>
                <xdr:rowOff>104775</xdr:rowOff>
              </from>
              <to>
                <xdr:col>9</xdr:col>
                <xdr:colOff>342900</xdr:colOff>
                <xdr:row>16</xdr:row>
                <xdr:rowOff>104775</xdr:rowOff>
              </to>
            </anchor>
          </controlPr>
        </control>
      </mc:Choice>
      <mc:Fallback>
        <control shapeId="1027" r:id="rId5" name="viz"/>
      </mc:Fallback>
    </mc:AlternateContent>
    <mc:AlternateContent xmlns:mc="http://schemas.openxmlformats.org/markup-compatibility/2006">
      <mc:Choice Requires="x14">
        <control shapeId="1026" r:id="rId7" name="suivi">
          <controlPr autoLine="0" autoPict="0" r:id="rId8">
            <anchor moveWithCells="1">
              <from>
                <xdr:col>5</xdr:col>
                <xdr:colOff>142875</xdr:colOff>
                <xdr:row>7</xdr:row>
                <xdr:rowOff>38100</xdr:rowOff>
              </from>
              <to>
                <xdr:col>9</xdr:col>
                <xdr:colOff>342900</xdr:colOff>
                <xdr:row>11</xdr:row>
                <xdr:rowOff>114300</xdr:rowOff>
              </to>
            </anchor>
          </controlPr>
        </control>
      </mc:Choice>
      <mc:Fallback>
        <control shapeId="1026" r:id="rId7" name="suivi"/>
      </mc:Fallback>
    </mc:AlternateContent>
    <mc:AlternateContent xmlns:mc="http://schemas.openxmlformats.org/markup-compatibility/2006">
      <mc:Choice Requires="x14">
        <control shapeId="1025" r:id="rId9" name="saisie">
          <controlPr autoLine="0" autoPict="0" r:id="rId10">
            <anchor moveWithCells="1">
              <from>
                <xdr:col>5</xdr:col>
                <xdr:colOff>152400</xdr:colOff>
                <xdr:row>1</xdr:row>
                <xdr:rowOff>114300</xdr:rowOff>
              </from>
              <to>
                <xdr:col>9</xdr:col>
                <xdr:colOff>333375</xdr:colOff>
                <xdr:row>5</xdr:row>
                <xdr:rowOff>161925</xdr:rowOff>
              </to>
            </anchor>
          </controlPr>
        </control>
      </mc:Choice>
      <mc:Fallback>
        <control shapeId="1025" r:id="rId9" name="saisi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W101"/>
  <sheetViews>
    <sheetView workbookViewId="0">
      <selection activeCell="D20" sqref="D20"/>
    </sheetView>
  </sheetViews>
  <sheetFormatPr baseColWidth="10" defaultRowHeight="15" x14ac:dyDescent="0.25"/>
  <cols>
    <col min="4" max="4" width="12" customWidth="1"/>
    <col min="10" max="10" width="12.28515625" customWidth="1"/>
    <col min="12" max="12" width="13.7109375" customWidth="1"/>
    <col min="13" max="13" width="17.5703125" customWidth="1"/>
    <col min="14" max="14" width="13.7109375" customWidth="1"/>
    <col min="18" max="18" width="21" customWidth="1"/>
    <col min="19" max="19" width="22.140625" customWidth="1"/>
    <col min="20" max="20" width="14.5703125" customWidth="1"/>
    <col min="23" max="23" width="24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40</v>
      </c>
      <c r="V1" t="s">
        <v>41</v>
      </c>
      <c r="W1" t="s">
        <v>42</v>
      </c>
    </row>
    <row r="2" spans="1:23" x14ac:dyDescent="0.25">
      <c r="A2">
        <v>1</v>
      </c>
      <c r="B2" t="s">
        <v>49</v>
      </c>
      <c r="C2" t="s">
        <v>50</v>
      </c>
      <c r="D2" s="1" t="s">
        <v>43</v>
      </c>
      <c r="E2">
        <v>165</v>
      </c>
      <c r="F2">
        <v>55</v>
      </c>
      <c r="G2" t="s">
        <v>21</v>
      </c>
      <c r="H2" t="s">
        <v>51</v>
      </c>
      <c r="I2">
        <v>12</v>
      </c>
      <c r="J2" t="s">
        <v>36</v>
      </c>
      <c r="K2" t="s">
        <v>36</v>
      </c>
      <c r="L2" t="s">
        <v>44</v>
      </c>
      <c r="M2" t="s">
        <v>45</v>
      </c>
      <c r="N2" t="s">
        <v>46</v>
      </c>
      <c r="O2" t="s">
        <v>47</v>
      </c>
      <c r="P2" t="s">
        <v>23</v>
      </c>
      <c r="Q2" t="s">
        <v>52</v>
      </c>
      <c r="R2" t="s">
        <v>28</v>
      </c>
      <c r="S2" t="s">
        <v>29</v>
      </c>
      <c r="T2" t="s">
        <v>36</v>
      </c>
      <c r="U2">
        <v>16</v>
      </c>
      <c r="V2">
        <v>20</v>
      </c>
      <c r="W2" t="s">
        <v>48</v>
      </c>
    </row>
    <row r="3" spans="1:23" x14ac:dyDescent="0.25">
      <c r="A3">
        <v>2</v>
      </c>
      <c r="B3" t="s">
        <v>49</v>
      </c>
      <c r="C3" t="s">
        <v>57</v>
      </c>
      <c r="D3" s="1">
        <v>36514</v>
      </c>
      <c r="E3">
        <v>180</v>
      </c>
      <c r="F3">
        <v>70</v>
      </c>
      <c r="H3" t="s">
        <v>51</v>
      </c>
      <c r="I3">
        <v>12</v>
      </c>
      <c r="J3" t="s">
        <v>38</v>
      </c>
      <c r="K3" t="s">
        <v>36</v>
      </c>
      <c r="L3" t="s">
        <v>53</v>
      </c>
      <c r="M3" t="s">
        <v>54</v>
      </c>
      <c r="N3" t="s">
        <v>55</v>
      </c>
      <c r="O3" t="s">
        <v>56</v>
      </c>
      <c r="P3" t="s">
        <v>23</v>
      </c>
      <c r="Q3" t="s">
        <v>52</v>
      </c>
      <c r="R3" t="s">
        <v>30</v>
      </c>
      <c r="S3" t="s">
        <v>29</v>
      </c>
      <c r="T3" t="s">
        <v>36</v>
      </c>
      <c r="U3">
        <v>19</v>
      </c>
      <c r="V3">
        <v>22</v>
      </c>
      <c r="W3" t="s">
        <v>48</v>
      </c>
    </row>
    <row r="4" spans="1:23" x14ac:dyDescent="0.25">
      <c r="A4">
        <v>3</v>
      </c>
      <c r="B4" t="s">
        <v>49</v>
      </c>
      <c r="C4" t="s">
        <v>57</v>
      </c>
      <c r="D4" s="1">
        <v>32874</v>
      </c>
      <c r="E4">
        <v>169</v>
      </c>
      <c r="F4">
        <v>80</v>
      </c>
      <c r="H4" t="s">
        <v>20</v>
      </c>
      <c r="I4">
        <v>15</v>
      </c>
      <c r="J4" t="s">
        <v>38</v>
      </c>
      <c r="K4" t="s">
        <v>36</v>
      </c>
      <c r="L4" t="s">
        <v>58</v>
      </c>
      <c r="M4" t="s">
        <v>59</v>
      </c>
      <c r="N4" s="1">
        <v>36557</v>
      </c>
      <c r="O4" s="1">
        <v>36861</v>
      </c>
      <c r="P4" t="s">
        <v>24</v>
      </c>
      <c r="Q4" t="s">
        <v>52</v>
      </c>
      <c r="R4" t="s">
        <v>28</v>
      </c>
      <c r="S4" t="s">
        <v>29</v>
      </c>
      <c r="T4" t="s">
        <v>36</v>
      </c>
      <c r="U4">
        <v>30</v>
      </c>
      <c r="V4">
        <v>28</v>
      </c>
      <c r="W4" t="s">
        <v>60</v>
      </c>
    </row>
    <row r="5" spans="1:23" x14ac:dyDescent="0.25">
      <c r="A5">
        <v>4</v>
      </c>
      <c r="B5" t="s">
        <v>65</v>
      </c>
      <c r="C5" t="s">
        <v>50</v>
      </c>
      <c r="D5" s="1">
        <v>33240</v>
      </c>
      <c r="E5">
        <v>187</v>
      </c>
      <c r="F5">
        <v>76</v>
      </c>
      <c r="H5" t="s">
        <v>20</v>
      </c>
      <c r="I5">
        <v>20</v>
      </c>
      <c r="J5" t="s">
        <v>38</v>
      </c>
      <c r="K5" t="s">
        <v>36</v>
      </c>
      <c r="L5" t="s">
        <v>61</v>
      </c>
      <c r="M5" t="s">
        <v>62</v>
      </c>
      <c r="N5" t="s">
        <v>63</v>
      </c>
      <c r="O5" t="s">
        <v>64</v>
      </c>
      <c r="P5" t="s">
        <v>25</v>
      </c>
      <c r="Q5" t="s">
        <v>66</v>
      </c>
      <c r="R5" t="s">
        <v>27</v>
      </c>
      <c r="S5" t="s">
        <v>29</v>
      </c>
      <c r="T5" t="s">
        <v>39</v>
      </c>
      <c r="U5">
        <v>29</v>
      </c>
      <c r="V5">
        <v>22</v>
      </c>
      <c r="W5" t="s">
        <v>48</v>
      </c>
    </row>
    <row r="6" spans="1:23" x14ac:dyDescent="0.25">
      <c r="A6">
        <v>5</v>
      </c>
      <c r="B6" t="s">
        <v>65</v>
      </c>
      <c r="C6" t="s">
        <v>57</v>
      </c>
      <c r="D6" s="1" t="s">
        <v>67</v>
      </c>
      <c r="E6">
        <v>182</v>
      </c>
      <c r="F6">
        <v>93</v>
      </c>
      <c r="H6" t="s">
        <v>51</v>
      </c>
      <c r="I6">
        <v>0</v>
      </c>
      <c r="J6" t="s">
        <v>38</v>
      </c>
      <c r="K6" t="s">
        <v>36</v>
      </c>
      <c r="L6" t="s">
        <v>68</v>
      </c>
      <c r="M6" t="s">
        <v>69</v>
      </c>
      <c r="N6" s="1">
        <v>43718</v>
      </c>
      <c r="O6" t="s">
        <v>70</v>
      </c>
      <c r="P6" t="s">
        <v>23</v>
      </c>
      <c r="Q6" t="s">
        <v>52</v>
      </c>
      <c r="R6" t="s">
        <v>30</v>
      </c>
      <c r="S6" t="s">
        <v>34</v>
      </c>
      <c r="T6" t="s">
        <v>37</v>
      </c>
      <c r="U6">
        <v>29</v>
      </c>
      <c r="V6">
        <v>28</v>
      </c>
      <c r="W6" t="s">
        <v>60</v>
      </c>
    </row>
    <row r="7" spans="1:23" x14ac:dyDescent="0.25">
      <c r="A7">
        <v>6</v>
      </c>
      <c r="B7" t="s">
        <v>49</v>
      </c>
      <c r="C7" t="s">
        <v>50</v>
      </c>
      <c r="D7" s="1">
        <v>32782</v>
      </c>
      <c r="E7">
        <v>171</v>
      </c>
      <c r="F7">
        <v>90</v>
      </c>
      <c r="G7" t="s">
        <v>20</v>
      </c>
      <c r="H7" t="s">
        <v>51</v>
      </c>
      <c r="I7">
        <v>20</v>
      </c>
      <c r="J7" t="s">
        <v>38</v>
      </c>
      <c r="K7" t="s">
        <v>36</v>
      </c>
      <c r="L7" t="s">
        <v>71</v>
      </c>
      <c r="M7" t="s">
        <v>72</v>
      </c>
      <c r="N7" t="s">
        <v>73</v>
      </c>
      <c r="O7" s="1">
        <v>43831</v>
      </c>
      <c r="P7" t="s">
        <v>25</v>
      </c>
      <c r="Q7" t="s">
        <v>52</v>
      </c>
      <c r="R7" t="s">
        <v>26</v>
      </c>
      <c r="S7" t="s">
        <v>32</v>
      </c>
      <c r="T7" t="s">
        <v>36</v>
      </c>
      <c r="U7">
        <v>31</v>
      </c>
      <c r="V7">
        <v>31</v>
      </c>
      <c r="W7" t="s">
        <v>74</v>
      </c>
    </row>
    <row r="8" spans="1:23" x14ac:dyDescent="0.25">
      <c r="A8">
        <v>7</v>
      </c>
      <c r="B8" t="s">
        <v>65</v>
      </c>
      <c r="C8" t="s">
        <v>57</v>
      </c>
      <c r="D8" s="1" t="s">
        <v>75</v>
      </c>
      <c r="E8">
        <v>175</v>
      </c>
      <c r="F8">
        <v>55</v>
      </c>
      <c r="H8" t="s">
        <v>51</v>
      </c>
      <c r="I8">
        <v>23</v>
      </c>
      <c r="J8" t="s">
        <v>38</v>
      </c>
      <c r="K8" t="s">
        <v>36</v>
      </c>
      <c r="L8" t="s">
        <v>76</v>
      </c>
      <c r="M8" t="s">
        <v>77</v>
      </c>
      <c r="N8" s="1">
        <v>43504</v>
      </c>
      <c r="O8" t="s">
        <v>78</v>
      </c>
      <c r="P8" t="s">
        <v>24</v>
      </c>
      <c r="Q8" t="s">
        <v>52</v>
      </c>
      <c r="R8" t="s">
        <v>28</v>
      </c>
      <c r="S8" t="s">
        <v>34</v>
      </c>
      <c r="T8" t="s">
        <v>37</v>
      </c>
      <c r="U8">
        <v>1</v>
      </c>
      <c r="V8">
        <v>18</v>
      </c>
      <c r="W8" t="s">
        <v>79</v>
      </c>
    </row>
    <row r="9" spans="1:23" x14ac:dyDescent="0.25">
      <c r="A9">
        <v>8</v>
      </c>
      <c r="B9" t="s">
        <v>49</v>
      </c>
      <c r="C9" t="s">
        <v>50</v>
      </c>
      <c r="D9" s="1" t="s">
        <v>80</v>
      </c>
      <c r="E9">
        <v>181</v>
      </c>
      <c r="F9">
        <v>91</v>
      </c>
      <c r="G9" t="s">
        <v>20</v>
      </c>
      <c r="H9" t="s">
        <v>51</v>
      </c>
      <c r="I9">
        <v>0</v>
      </c>
      <c r="J9" t="s">
        <v>38</v>
      </c>
      <c r="K9" t="s">
        <v>36</v>
      </c>
      <c r="L9" t="s">
        <v>81</v>
      </c>
      <c r="M9" t="s">
        <v>82</v>
      </c>
      <c r="N9" t="s">
        <v>83</v>
      </c>
      <c r="O9" s="1">
        <v>43469</v>
      </c>
      <c r="P9" t="s">
        <v>25</v>
      </c>
      <c r="Q9" t="s">
        <v>66</v>
      </c>
      <c r="R9" t="s">
        <v>26</v>
      </c>
      <c r="S9" t="s">
        <v>32</v>
      </c>
      <c r="T9" t="s">
        <v>37</v>
      </c>
      <c r="U9">
        <v>41</v>
      </c>
      <c r="V9">
        <v>28</v>
      </c>
      <c r="W9" t="s">
        <v>60</v>
      </c>
    </row>
    <row r="10" spans="1:23" x14ac:dyDescent="0.25">
      <c r="A10">
        <v>9</v>
      </c>
      <c r="B10" t="s">
        <v>49</v>
      </c>
      <c r="C10" t="s">
        <v>57</v>
      </c>
      <c r="D10" s="1">
        <v>25812</v>
      </c>
      <c r="E10">
        <v>169</v>
      </c>
      <c r="F10">
        <v>60</v>
      </c>
      <c r="H10" t="s">
        <v>20</v>
      </c>
      <c r="I10">
        <v>32</v>
      </c>
      <c r="J10" t="s">
        <v>38</v>
      </c>
      <c r="K10" t="s">
        <v>36</v>
      </c>
      <c r="L10" t="s">
        <v>58</v>
      </c>
      <c r="M10" t="s">
        <v>82</v>
      </c>
      <c r="N10" t="s">
        <v>83</v>
      </c>
      <c r="O10" s="1">
        <v>43469</v>
      </c>
      <c r="P10" t="s">
        <v>25</v>
      </c>
      <c r="Q10" t="s">
        <v>66</v>
      </c>
      <c r="R10" t="s">
        <v>26</v>
      </c>
      <c r="S10" t="s">
        <v>32</v>
      </c>
      <c r="T10" t="s">
        <v>39</v>
      </c>
      <c r="U10">
        <v>50</v>
      </c>
      <c r="V10">
        <v>21</v>
      </c>
      <c r="W10" t="s">
        <v>48</v>
      </c>
    </row>
    <row r="11" spans="1:23" x14ac:dyDescent="0.25">
      <c r="A11">
        <v>10</v>
      </c>
      <c r="B11" t="s">
        <v>49</v>
      </c>
      <c r="C11" t="s">
        <v>57</v>
      </c>
      <c r="D11" s="1">
        <v>33117</v>
      </c>
      <c r="E11">
        <v>190</v>
      </c>
      <c r="F11">
        <v>110</v>
      </c>
      <c r="H11" t="s">
        <v>20</v>
      </c>
      <c r="I11">
        <v>35</v>
      </c>
      <c r="J11" t="s">
        <v>38</v>
      </c>
      <c r="K11" t="s">
        <v>36</v>
      </c>
      <c r="L11" t="s">
        <v>44</v>
      </c>
      <c r="M11" t="s">
        <v>84</v>
      </c>
      <c r="N11" t="s">
        <v>83</v>
      </c>
      <c r="O11" t="s">
        <v>63</v>
      </c>
      <c r="P11" t="s">
        <v>23</v>
      </c>
      <c r="Q11" t="s">
        <v>52</v>
      </c>
      <c r="R11" t="s">
        <v>28</v>
      </c>
      <c r="S11" t="s">
        <v>29</v>
      </c>
      <c r="T11" t="s">
        <v>39</v>
      </c>
      <c r="U11">
        <v>30</v>
      </c>
      <c r="V11">
        <v>30</v>
      </c>
      <c r="W11" t="s">
        <v>60</v>
      </c>
    </row>
    <row r="12" spans="1:23" x14ac:dyDescent="0.25">
      <c r="A12">
        <v>11</v>
      </c>
      <c r="B12" t="s">
        <v>49</v>
      </c>
      <c r="C12" t="s">
        <v>50</v>
      </c>
      <c r="D12" t="s">
        <v>85</v>
      </c>
      <c r="E12">
        <v>170</v>
      </c>
      <c r="F12">
        <v>45</v>
      </c>
      <c r="G12" t="s">
        <v>21</v>
      </c>
      <c r="H12" t="s">
        <v>51</v>
      </c>
      <c r="I12">
        <v>14</v>
      </c>
      <c r="J12" t="s">
        <v>38</v>
      </c>
      <c r="K12" t="s">
        <v>36</v>
      </c>
      <c r="L12" t="s">
        <v>86</v>
      </c>
      <c r="M12" t="s">
        <v>87</v>
      </c>
      <c r="N12" s="1">
        <v>43811</v>
      </c>
      <c r="O12" t="s">
        <v>88</v>
      </c>
      <c r="P12" t="s">
        <v>24</v>
      </c>
      <c r="Q12" t="s">
        <v>52</v>
      </c>
      <c r="R12" t="s">
        <v>30</v>
      </c>
      <c r="S12" t="s">
        <v>29</v>
      </c>
      <c r="T12" t="s">
        <v>37</v>
      </c>
      <c r="U12">
        <v>18</v>
      </c>
      <c r="V12">
        <v>16</v>
      </c>
      <c r="W12" t="s">
        <v>79</v>
      </c>
    </row>
    <row r="13" spans="1:23" x14ac:dyDescent="0.25">
      <c r="A13">
        <v>12</v>
      </c>
      <c r="B13" t="s">
        <v>49</v>
      </c>
      <c r="C13" t="s">
        <v>50</v>
      </c>
      <c r="D13" s="1" t="s">
        <v>89</v>
      </c>
      <c r="E13">
        <v>170</v>
      </c>
      <c r="F13">
        <v>80</v>
      </c>
      <c r="G13" t="s">
        <v>21</v>
      </c>
      <c r="H13" t="s">
        <v>20</v>
      </c>
      <c r="I13">
        <v>1</v>
      </c>
      <c r="J13" t="s">
        <v>36</v>
      </c>
      <c r="K13" t="s">
        <v>36</v>
      </c>
      <c r="L13" t="s">
        <v>90</v>
      </c>
      <c r="M13" t="s">
        <v>87</v>
      </c>
      <c r="N13" s="1">
        <v>43800</v>
      </c>
      <c r="O13" t="s">
        <v>91</v>
      </c>
      <c r="P13" t="s">
        <v>24</v>
      </c>
      <c r="Q13" t="s">
        <v>52</v>
      </c>
      <c r="R13" t="s">
        <v>30</v>
      </c>
      <c r="S13" t="s">
        <v>29</v>
      </c>
      <c r="T13" t="s">
        <v>36</v>
      </c>
      <c r="U13">
        <v>20</v>
      </c>
      <c r="V13">
        <v>28</v>
      </c>
      <c r="W13" t="s">
        <v>60</v>
      </c>
    </row>
    <row r="14" spans="1:23" x14ac:dyDescent="0.25">
      <c r="A14">
        <v>13</v>
      </c>
      <c r="B14" t="s">
        <v>65</v>
      </c>
      <c r="C14" t="s">
        <v>57</v>
      </c>
      <c r="D14" s="1">
        <v>36901</v>
      </c>
      <c r="E14">
        <v>159</v>
      </c>
      <c r="F14">
        <v>80</v>
      </c>
      <c r="H14" t="s">
        <v>20</v>
      </c>
      <c r="I14">
        <v>19</v>
      </c>
      <c r="J14" t="s">
        <v>38</v>
      </c>
      <c r="K14" t="s">
        <v>36</v>
      </c>
      <c r="L14" t="s">
        <v>92</v>
      </c>
      <c r="M14" t="s">
        <v>93</v>
      </c>
      <c r="N14" s="1">
        <v>43559</v>
      </c>
      <c r="O14" t="s">
        <v>94</v>
      </c>
      <c r="P14" t="s">
        <v>24</v>
      </c>
      <c r="Q14" t="s">
        <v>66</v>
      </c>
      <c r="R14" t="s">
        <v>27</v>
      </c>
      <c r="S14" t="s">
        <v>34</v>
      </c>
      <c r="T14" t="s">
        <v>36</v>
      </c>
      <c r="U14">
        <v>19</v>
      </c>
      <c r="V14">
        <v>32</v>
      </c>
      <c r="W14" t="s">
        <v>74</v>
      </c>
    </row>
    <row r="15" spans="1:23" x14ac:dyDescent="0.25">
      <c r="A15">
        <v>14</v>
      </c>
      <c r="B15" t="s">
        <v>65</v>
      </c>
      <c r="C15" t="s">
        <v>57</v>
      </c>
      <c r="D15" s="1">
        <v>35440</v>
      </c>
      <c r="E15">
        <v>182</v>
      </c>
      <c r="F15">
        <v>80</v>
      </c>
      <c r="H15" t="s">
        <v>20</v>
      </c>
      <c r="I15">
        <v>0</v>
      </c>
      <c r="J15" t="s">
        <v>38</v>
      </c>
      <c r="K15" t="s">
        <v>36</v>
      </c>
      <c r="L15" t="s">
        <v>95</v>
      </c>
      <c r="M15" t="s">
        <v>96</v>
      </c>
      <c r="N15" s="1">
        <v>43559</v>
      </c>
      <c r="O15" t="s">
        <v>94</v>
      </c>
      <c r="P15" t="s">
        <v>25</v>
      </c>
      <c r="Q15" t="s">
        <v>66</v>
      </c>
      <c r="R15" t="s">
        <v>27</v>
      </c>
      <c r="S15" t="s">
        <v>34</v>
      </c>
      <c r="T15" t="s">
        <v>36</v>
      </c>
      <c r="U15">
        <v>23</v>
      </c>
      <c r="V15">
        <v>24</v>
      </c>
      <c r="W15" t="s">
        <v>48</v>
      </c>
    </row>
    <row r="16" spans="1:23" x14ac:dyDescent="0.25">
      <c r="A16">
        <v>15</v>
      </c>
      <c r="B16" t="s">
        <v>65</v>
      </c>
      <c r="C16" t="s">
        <v>57</v>
      </c>
      <c r="D16" s="1">
        <v>31787</v>
      </c>
      <c r="E16">
        <v>172</v>
      </c>
      <c r="F16">
        <v>110</v>
      </c>
      <c r="H16" t="s">
        <v>51</v>
      </c>
      <c r="I16">
        <v>0</v>
      </c>
      <c r="J16" t="s">
        <v>38</v>
      </c>
      <c r="K16" t="s">
        <v>36</v>
      </c>
      <c r="L16" t="s">
        <v>97</v>
      </c>
      <c r="M16" t="s">
        <v>98</v>
      </c>
      <c r="N16" s="1">
        <v>43562</v>
      </c>
      <c r="O16" s="1">
        <v>43745</v>
      </c>
      <c r="P16" t="s">
        <v>25</v>
      </c>
      <c r="Q16" t="s">
        <v>66</v>
      </c>
      <c r="R16" t="s">
        <v>27</v>
      </c>
      <c r="S16" t="s">
        <v>29</v>
      </c>
      <c r="T16" t="s">
        <v>36</v>
      </c>
      <c r="U16">
        <v>33</v>
      </c>
      <c r="V16">
        <v>37</v>
      </c>
      <c r="W16" t="s">
        <v>99</v>
      </c>
    </row>
    <row r="17" spans="1:23" x14ac:dyDescent="0.25">
      <c r="A17">
        <v>16</v>
      </c>
      <c r="B17" t="s">
        <v>49</v>
      </c>
      <c r="C17" t="s">
        <v>50</v>
      </c>
      <c r="D17" s="1">
        <v>20830</v>
      </c>
      <c r="E17">
        <v>172</v>
      </c>
      <c r="F17">
        <v>58</v>
      </c>
      <c r="G17" t="s">
        <v>21</v>
      </c>
      <c r="H17" t="s">
        <v>51</v>
      </c>
      <c r="I17">
        <v>0</v>
      </c>
      <c r="J17" t="s">
        <v>38</v>
      </c>
      <c r="K17" t="s">
        <v>36</v>
      </c>
      <c r="L17" t="s">
        <v>100</v>
      </c>
      <c r="M17" t="s">
        <v>101</v>
      </c>
      <c r="N17" s="1">
        <v>43556</v>
      </c>
      <c r="O17" s="1">
        <v>43739</v>
      </c>
      <c r="P17" t="s">
        <v>25</v>
      </c>
      <c r="Q17" t="s">
        <v>66</v>
      </c>
      <c r="R17" t="s">
        <v>26</v>
      </c>
      <c r="S17" t="s">
        <v>32</v>
      </c>
      <c r="T17" t="s">
        <v>36</v>
      </c>
      <c r="U17">
        <v>63</v>
      </c>
      <c r="V17">
        <v>20</v>
      </c>
      <c r="W17" t="s">
        <v>48</v>
      </c>
    </row>
    <row r="18" spans="1:23" x14ac:dyDescent="0.25">
      <c r="A18">
        <v>17</v>
      </c>
      <c r="B18" t="s">
        <v>49</v>
      </c>
      <c r="C18" t="s">
        <v>50</v>
      </c>
      <c r="D18" s="1">
        <v>29230</v>
      </c>
      <c r="E18">
        <v>172</v>
      </c>
      <c r="F18">
        <v>78</v>
      </c>
      <c r="G18" t="s">
        <v>20</v>
      </c>
      <c r="H18" t="s">
        <v>51</v>
      </c>
      <c r="I18">
        <v>0</v>
      </c>
      <c r="J18" t="s">
        <v>38</v>
      </c>
      <c r="K18" t="s">
        <v>36</v>
      </c>
      <c r="L18" t="s">
        <v>102</v>
      </c>
      <c r="M18" t="s">
        <v>103</v>
      </c>
      <c r="N18" s="1">
        <v>43556</v>
      </c>
      <c r="O18" s="1">
        <v>43739</v>
      </c>
      <c r="P18" t="s">
        <v>25</v>
      </c>
      <c r="Q18" t="s">
        <v>66</v>
      </c>
      <c r="R18" t="s">
        <v>27</v>
      </c>
      <c r="S18" t="s">
        <v>29</v>
      </c>
      <c r="T18" t="s">
        <v>36</v>
      </c>
      <c r="U18">
        <v>40</v>
      </c>
      <c r="V18">
        <v>26</v>
      </c>
      <c r="W18" t="s">
        <v>60</v>
      </c>
    </row>
    <row r="19" spans="1:23" x14ac:dyDescent="0.25">
      <c r="A19">
        <v>18</v>
      </c>
      <c r="B19" t="s">
        <v>49</v>
      </c>
      <c r="C19" t="s">
        <v>50</v>
      </c>
      <c r="D19" s="1">
        <v>32518</v>
      </c>
      <c r="E19">
        <v>155</v>
      </c>
      <c r="F19">
        <v>78</v>
      </c>
      <c r="G19" t="s">
        <v>21</v>
      </c>
      <c r="H19" t="s">
        <v>20</v>
      </c>
      <c r="I19">
        <v>0</v>
      </c>
      <c r="J19" t="s">
        <v>38</v>
      </c>
      <c r="K19" t="s">
        <v>36</v>
      </c>
      <c r="L19" t="s">
        <v>104</v>
      </c>
      <c r="M19" t="s">
        <v>105</v>
      </c>
      <c r="N19" s="1">
        <v>43556</v>
      </c>
      <c r="O19" s="1">
        <v>43556</v>
      </c>
      <c r="P19" t="s">
        <v>25</v>
      </c>
      <c r="Q19" t="s">
        <v>66</v>
      </c>
      <c r="R19" t="s">
        <v>27</v>
      </c>
      <c r="S19" t="s">
        <v>29</v>
      </c>
      <c r="T19" t="s">
        <v>36</v>
      </c>
      <c r="U19">
        <v>31</v>
      </c>
      <c r="V19">
        <v>32</v>
      </c>
      <c r="W19" t="s">
        <v>74</v>
      </c>
    </row>
    <row r="20" spans="1:23" x14ac:dyDescent="0.25">
      <c r="A20">
        <v>19</v>
      </c>
      <c r="B20" t="s">
        <v>49</v>
      </c>
      <c r="C20" t="s">
        <v>50</v>
      </c>
      <c r="D20" s="1">
        <v>38362</v>
      </c>
      <c r="E20">
        <v>162</v>
      </c>
      <c r="F20">
        <v>78</v>
      </c>
      <c r="G20" t="s">
        <v>21</v>
      </c>
      <c r="H20" t="s">
        <v>51</v>
      </c>
      <c r="I20">
        <v>20</v>
      </c>
      <c r="J20" t="s">
        <v>38</v>
      </c>
      <c r="K20" t="s">
        <v>36</v>
      </c>
      <c r="L20" t="s">
        <v>106</v>
      </c>
      <c r="M20" t="s">
        <v>59</v>
      </c>
      <c r="N20" t="s">
        <v>107</v>
      </c>
      <c r="O20" t="s">
        <v>108</v>
      </c>
      <c r="P20" t="s">
        <v>24</v>
      </c>
      <c r="Q20" t="s">
        <v>52</v>
      </c>
      <c r="R20" t="s">
        <v>28</v>
      </c>
      <c r="S20" t="s">
        <v>29</v>
      </c>
      <c r="T20" t="s">
        <v>37</v>
      </c>
      <c r="U20">
        <v>15</v>
      </c>
      <c r="V20">
        <v>30</v>
      </c>
      <c r="W20" t="s">
        <v>60</v>
      </c>
    </row>
    <row r="21" spans="1:23" x14ac:dyDescent="0.25">
      <c r="A21">
        <v>20</v>
      </c>
      <c r="B21" t="s">
        <v>49</v>
      </c>
      <c r="C21" t="s">
        <v>50</v>
      </c>
      <c r="D21" s="1">
        <v>42014</v>
      </c>
      <c r="E21">
        <v>130</v>
      </c>
      <c r="F21">
        <v>25</v>
      </c>
      <c r="G21" t="s">
        <v>21</v>
      </c>
      <c r="H21" t="s">
        <v>51</v>
      </c>
      <c r="I21">
        <v>0</v>
      </c>
      <c r="J21" t="s">
        <v>38</v>
      </c>
      <c r="K21" t="s">
        <v>36</v>
      </c>
      <c r="L21" t="s">
        <v>109</v>
      </c>
      <c r="M21" t="s">
        <v>110</v>
      </c>
      <c r="N21" t="s">
        <v>107</v>
      </c>
      <c r="O21" t="s">
        <v>108</v>
      </c>
      <c r="P21" t="s">
        <v>23</v>
      </c>
      <c r="Q21" t="s">
        <v>52</v>
      </c>
      <c r="R21" t="s">
        <v>28</v>
      </c>
      <c r="S21" t="s">
        <v>29</v>
      </c>
      <c r="T21" t="s">
        <v>36</v>
      </c>
      <c r="U21">
        <v>5</v>
      </c>
      <c r="V21">
        <v>15</v>
      </c>
      <c r="W21" t="s">
        <v>241</v>
      </c>
    </row>
    <row r="22" spans="1:23" x14ac:dyDescent="0.25">
      <c r="A22">
        <v>21</v>
      </c>
      <c r="B22" t="s">
        <v>65</v>
      </c>
      <c r="C22" t="s">
        <v>50</v>
      </c>
      <c r="D22" t="s">
        <v>111</v>
      </c>
      <c r="E22">
        <v>170</v>
      </c>
      <c r="F22">
        <v>95</v>
      </c>
      <c r="G22" t="s">
        <v>21</v>
      </c>
      <c r="H22" t="s">
        <v>51</v>
      </c>
      <c r="I22">
        <v>0</v>
      </c>
      <c r="J22" t="s">
        <v>38</v>
      </c>
      <c r="K22" t="s">
        <v>36</v>
      </c>
      <c r="L22" t="s">
        <v>112</v>
      </c>
      <c r="M22" t="s">
        <v>110</v>
      </c>
      <c r="N22" t="s">
        <v>73</v>
      </c>
      <c r="O22" t="s">
        <v>113</v>
      </c>
      <c r="P22" t="s">
        <v>24</v>
      </c>
      <c r="Q22" t="s">
        <v>52</v>
      </c>
      <c r="R22" t="s">
        <v>28</v>
      </c>
      <c r="S22" t="s">
        <v>29</v>
      </c>
      <c r="T22" t="s">
        <v>37</v>
      </c>
      <c r="U22">
        <v>58</v>
      </c>
      <c r="V22">
        <v>33</v>
      </c>
      <c r="W22" t="s">
        <v>74</v>
      </c>
    </row>
    <row r="23" spans="1:23" x14ac:dyDescent="0.25">
      <c r="A23">
        <v>22</v>
      </c>
      <c r="B23" t="s">
        <v>65</v>
      </c>
      <c r="C23" t="s">
        <v>50</v>
      </c>
      <c r="D23" t="s">
        <v>114</v>
      </c>
      <c r="E23">
        <v>170</v>
      </c>
      <c r="F23">
        <v>55</v>
      </c>
      <c r="G23" t="s">
        <v>21</v>
      </c>
      <c r="H23" t="s">
        <v>20</v>
      </c>
      <c r="I23">
        <v>64</v>
      </c>
      <c r="J23" t="s">
        <v>38</v>
      </c>
      <c r="K23" t="s">
        <v>36</v>
      </c>
      <c r="L23" t="s">
        <v>115</v>
      </c>
      <c r="M23" t="s">
        <v>116</v>
      </c>
      <c r="N23" t="s">
        <v>117</v>
      </c>
      <c r="O23" t="s">
        <v>118</v>
      </c>
      <c r="P23" t="s">
        <v>24</v>
      </c>
      <c r="Q23" t="s">
        <v>52</v>
      </c>
      <c r="R23" t="s">
        <v>27</v>
      </c>
      <c r="S23" t="s">
        <v>29</v>
      </c>
      <c r="T23" t="s">
        <v>36</v>
      </c>
      <c r="U23">
        <v>23</v>
      </c>
      <c r="V23">
        <v>19</v>
      </c>
      <c r="W23" t="s">
        <v>48</v>
      </c>
    </row>
    <row r="24" spans="1:23" x14ac:dyDescent="0.25">
      <c r="A24">
        <v>23</v>
      </c>
      <c r="B24" t="s">
        <v>65</v>
      </c>
      <c r="C24" t="s">
        <v>50</v>
      </c>
      <c r="D24" t="s">
        <v>119</v>
      </c>
      <c r="E24">
        <v>167</v>
      </c>
      <c r="F24">
        <v>115</v>
      </c>
      <c r="G24" t="s">
        <v>21</v>
      </c>
      <c r="H24" t="s">
        <v>20</v>
      </c>
      <c r="I24">
        <v>6</v>
      </c>
      <c r="J24" t="s">
        <v>38</v>
      </c>
      <c r="K24" t="s">
        <v>36</v>
      </c>
      <c r="L24" t="s">
        <v>120</v>
      </c>
      <c r="M24" t="s">
        <v>121</v>
      </c>
      <c r="N24" t="s">
        <v>117</v>
      </c>
      <c r="O24" s="1">
        <v>43499</v>
      </c>
      <c r="P24" t="s">
        <v>24</v>
      </c>
      <c r="Q24" t="s">
        <v>66</v>
      </c>
      <c r="R24" t="s">
        <v>26</v>
      </c>
      <c r="S24" t="s">
        <v>29</v>
      </c>
      <c r="T24" t="s">
        <v>39</v>
      </c>
      <c r="U24">
        <v>23</v>
      </c>
      <c r="V24">
        <v>41</v>
      </c>
      <c r="W24" t="s">
        <v>122</v>
      </c>
    </row>
    <row r="25" spans="1:23" x14ac:dyDescent="0.25">
      <c r="A25">
        <v>24</v>
      </c>
      <c r="B25" t="s">
        <v>65</v>
      </c>
      <c r="C25" t="s">
        <v>50</v>
      </c>
      <c r="D25" t="s">
        <v>123</v>
      </c>
      <c r="E25">
        <v>186</v>
      </c>
      <c r="F25">
        <v>115</v>
      </c>
      <c r="G25" t="s">
        <v>21</v>
      </c>
      <c r="H25" t="s">
        <v>20</v>
      </c>
      <c r="I25">
        <v>6</v>
      </c>
      <c r="J25" t="s">
        <v>36</v>
      </c>
      <c r="K25" t="s">
        <v>36</v>
      </c>
      <c r="L25" t="s">
        <v>124</v>
      </c>
      <c r="M25" t="s">
        <v>125</v>
      </c>
      <c r="N25" t="s">
        <v>126</v>
      </c>
      <c r="O25" t="s">
        <v>70</v>
      </c>
      <c r="P25" t="s">
        <v>24</v>
      </c>
      <c r="Q25" t="s">
        <v>66</v>
      </c>
      <c r="R25" t="s">
        <v>27</v>
      </c>
      <c r="S25" t="s">
        <v>29</v>
      </c>
      <c r="T25" t="s">
        <v>39</v>
      </c>
      <c r="U25">
        <v>55</v>
      </c>
      <c r="V25">
        <v>33</v>
      </c>
      <c r="W25" t="s">
        <v>74</v>
      </c>
    </row>
    <row r="26" spans="1:23" x14ac:dyDescent="0.25">
      <c r="A26">
        <v>25</v>
      </c>
      <c r="B26" t="s">
        <v>65</v>
      </c>
      <c r="C26" t="s">
        <v>50</v>
      </c>
      <c r="D26" s="1">
        <v>23746</v>
      </c>
      <c r="E26">
        <v>186</v>
      </c>
      <c r="F26">
        <v>65</v>
      </c>
      <c r="G26" t="s">
        <v>21</v>
      </c>
      <c r="H26" t="s">
        <v>20</v>
      </c>
      <c r="I26">
        <v>16</v>
      </c>
      <c r="J26" t="s">
        <v>36</v>
      </c>
      <c r="K26" t="s">
        <v>36</v>
      </c>
      <c r="L26" t="s">
        <v>124</v>
      </c>
      <c r="M26" t="s">
        <v>125</v>
      </c>
      <c r="N26" t="s">
        <v>75</v>
      </c>
      <c r="O26" t="s">
        <v>127</v>
      </c>
      <c r="P26" t="s">
        <v>23</v>
      </c>
      <c r="Q26" t="s">
        <v>52</v>
      </c>
      <c r="R26" t="s">
        <v>27</v>
      </c>
      <c r="S26" t="s">
        <v>29</v>
      </c>
      <c r="T26" t="s">
        <v>39</v>
      </c>
      <c r="U26">
        <v>55</v>
      </c>
      <c r="V26">
        <v>19</v>
      </c>
      <c r="W26" t="s">
        <v>48</v>
      </c>
    </row>
    <row r="27" spans="1:23" x14ac:dyDescent="0.25">
      <c r="A27">
        <v>26</v>
      </c>
      <c r="B27" t="s">
        <v>49</v>
      </c>
      <c r="C27" t="s">
        <v>57</v>
      </c>
      <c r="D27" s="1">
        <v>19728</v>
      </c>
      <c r="E27">
        <v>186</v>
      </c>
      <c r="F27">
        <v>62</v>
      </c>
      <c r="H27" t="s">
        <v>20</v>
      </c>
      <c r="I27">
        <v>1</v>
      </c>
      <c r="J27" t="s">
        <v>38</v>
      </c>
      <c r="K27" t="s">
        <v>36</v>
      </c>
      <c r="L27" t="s">
        <v>58</v>
      </c>
      <c r="M27" t="s">
        <v>82</v>
      </c>
      <c r="N27" s="1">
        <v>43740</v>
      </c>
      <c r="O27" s="1">
        <v>43741</v>
      </c>
      <c r="P27" t="s">
        <v>25</v>
      </c>
      <c r="Q27" t="s">
        <v>52</v>
      </c>
      <c r="R27" t="s">
        <v>26</v>
      </c>
      <c r="S27" t="s">
        <v>32</v>
      </c>
      <c r="T27" t="s">
        <v>39</v>
      </c>
      <c r="U27">
        <v>66</v>
      </c>
      <c r="V27">
        <v>18</v>
      </c>
      <c r="W27" t="s">
        <v>79</v>
      </c>
    </row>
    <row r="28" spans="1:23" x14ac:dyDescent="0.25">
      <c r="A28">
        <v>27</v>
      </c>
      <c r="B28" t="s">
        <v>49</v>
      </c>
      <c r="C28" t="s">
        <v>57</v>
      </c>
      <c r="D28" s="1">
        <v>14614</v>
      </c>
      <c r="E28">
        <v>166</v>
      </c>
      <c r="F28">
        <v>69</v>
      </c>
      <c r="H28" t="s">
        <v>20</v>
      </c>
      <c r="I28">
        <v>19</v>
      </c>
      <c r="J28" t="s">
        <v>38</v>
      </c>
      <c r="K28" t="s">
        <v>36</v>
      </c>
      <c r="L28" t="s">
        <v>58</v>
      </c>
      <c r="M28" t="s">
        <v>82</v>
      </c>
      <c r="N28" s="1">
        <v>43740</v>
      </c>
      <c r="O28" s="1">
        <v>43741</v>
      </c>
      <c r="P28" t="s">
        <v>25</v>
      </c>
      <c r="Q28" t="s">
        <v>52</v>
      </c>
      <c r="R28" t="s">
        <v>26</v>
      </c>
      <c r="S28" t="s">
        <v>33</v>
      </c>
      <c r="T28" t="s">
        <v>37</v>
      </c>
      <c r="U28">
        <v>80</v>
      </c>
      <c r="V28">
        <v>25</v>
      </c>
      <c r="W28" t="s">
        <v>48</v>
      </c>
    </row>
    <row r="29" spans="1:23" x14ac:dyDescent="0.25">
      <c r="A29">
        <v>28</v>
      </c>
      <c r="B29" t="s">
        <v>49</v>
      </c>
      <c r="C29" t="s">
        <v>57</v>
      </c>
      <c r="D29" s="1">
        <v>14705</v>
      </c>
      <c r="E29">
        <v>166</v>
      </c>
      <c r="F29">
        <v>80</v>
      </c>
      <c r="H29" t="s">
        <v>20</v>
      </c>
      <c r="I29">
        <v>9</v>
      </c>
      <c r="J29" t="s">
        <v>38</v>
      </c>
      <c r="K29" t="s">
        <v>36</v>
      </c>
      <c r="L29" t="s">
        <v>104</v>
      </c>
      <c r="M29" t="s">
        <v>128</v>
      </c>
      <c r="N29" s="1">
        <v>43745</v>
      </c>
      <c r="O29" s="1">
        <v>43806</v>
      </c>
      <c r="P29" t="s">
        <v>23</v>
      </c>
      <c r="Q29" t="s">
        <v>52</v>
      </c>
      <c r="R29" t="s">
        <v>28</v>
      </c>
      <c r="S29" t="s">
        <v>34</v>
      </c>
      <c r="T29" t="s">
        <v>37</v>
      </c>
      <c r="U29">
        <v>80</v>
      </c>
      <c r="V29">
        <v>29</v>
      </c>
      <c r="W29" t="s">
        <v>60</v>
      </c>
    </row>
    <row r="30" spans="1:23" x14ac:dyDescent="0.25">
      <c r="A30">
        <v>29</v>
      </c>
      <c r="B30" t="s">
        <v>49</v>
      </c>
      <c r="C30" t="s">
        <v>57</v>
      </c>
      <c r="D30" s="1">
        <v>40272</v>
      </c>
      <c r="E30">
        <v>155</v>
      </c>
      <c r="F30">
        <v>101</v>
      </c>
      <c r="H30" t="s">
        <v>20</v>
      </c>
      <c r="I30">
        <v>50</v>
      </c>
      <c r="J30" t="s">
        <v>38</v>
      </c>
      <c r="K30" t="s">
        <v>36</v>
      </c>
      <c r="L30" t="s">
        <v>129</v>
      </c>
      <c r="M30" t="s">
        <v>130</v>
      </c>
      <c r="N30" s="1">
        <v>43656</v>
      </c>
      <c r="O30" s="1">
        <v>43748</v>
      </c>
      <c r="P30" t="s">
        <v>23</v>
      </c>
      <c r="Q30" t="s">
        <v>52</v>
      </c>
      <c r="R30" t="s">
        <v>28</v>
      </c>
      <c r="S30" t="s">
        <v>29</v>
      </c>
      <c r="T30" t="s">
        <v>36</v>
      </c>
      <c r="U30">
        <v>10</v>
      </c>
      <c r="V30">
        <v>42</v>
      </c>
      <c r="W30" t="s">
        <v>122</v>
      </c>
    </row>
    <row r="31" spans="1:23" x14ac:dyDescent="0.25">
      <c r="A31">
        <v>30</v>
      </c>
      <c r="B31" t="s">
        <v>49</v>
      </c>
      <c r="C31" t="s">
        <v>57</v>
      </c>
      <c r="D31" s="1" t="s">
        <v>85</v>
      </c>
      <c r="E31">
        <v>170</v>
      </c>
      <c r="F31">
        <v>46</v>
      </c>
      <c r="H31" t="s">
        <v>20</v>
      </c>
      <c r="I31">
        <v>24</v>
      </c>
      <c r="J31" t="s">
        <v>38</v>
      </c>
      <c r="K31" t="s">
        <v>36</v>
      </c>
      <c r="L31" t="s">
        <v>131</v>
      </c>
      <c r="M31" t="s">
        <v>132</v>
      </c>
      <c r="N31" t="s">
        <v>133</v>
      </c>
      <c r="O31" t="s">
        <v>134</v>
      </c>
      <c r="P31" t="s">
        <v>24</v>
      </c>
      <c r="Q31" t="s">
        <v>52</v>
      </c>
      <c r="R31" t="s">
        <v>27</v>
      </c>
      <c r="S31" t="s">
        <v>34</v>
      </c>
      <c r="T31" t="s">
        <v>39</v>
      </c>
      <c r="U31">
        <v>18</v>
      </c>
      <c r="V31">
        <v>16</v>
      </c>
      <c r="W31" t="s">
        <v>79</v>
      </c>
    </row>
    <row r="32" spans="1:23" x14ac:dyDescent="0.25">
      <c r="A32">
        <v>31</v>
      </c>
      <c r="B32" t="s">
        <v>49</v>
      </c>
      <c r="C32" t="s">
        <v>57</v>
      </c>
      <c r="D32" t="s">
        <v>135</v>
      </c>
      <c r="E32">
        <v>170</v>
      </c>
      <c r="F32">
        <v>89</v>
      </c>
      <c r="H32" t="s">
        <v>20</v>
      </c>
      <c r="I32">
        <v>4</v>
      </c>
      <c r="J32" t="s">
        <v>38</v>
      </c>
      <c r="K32" t="s">
        <v>36</v>
      </c>
      <c r="L32" t="s">
        <v>86</v>
      </c>
      <c r="M32" t="s">
        <v>132</v>
      </c>
      <c r="N32" t="s">
        <v>136</v>
      </c>
      <c r="O32" s="1">
        <v>43532</v>
      </c>
      <c r="P32" t="s">
        <v>24</v>
      </c>
      <c r="Q32" t="s">
        <v>52</v>
      </c>
      <c r="R32" t="s">
        <v>27</v>
      </c>
      <c r="S32" t="s">
        <v>31</v>
      </c>
      <c r="T32" t="s">
        <v>39</v>
      </c>
      <c r="U32">
        <v>24</v>
      </c>
      <c r="V32">
        <v>31</v>
      </c>
      <c r="W32" t="s">
        <v>74</v>
      </c>
    </row>
    <row r="33" spans="1:23" x14ac:dyDescent="0.25">
      <c r="A33">
        <v>32</v>
      </c>
      <c r="B33" t="s">
        <v>65</v>
      </c>
      <c r="C33" t="s">
        <v>50</v>
      </c>
      <c r="D33" s="1" t="s">
        <v>137</v>
      </c>
      <c r="E33">
        <v>178</v>
      </c>
      <c r="F33">
        <v>89</v>
      </c>
      <c r="G33" t="s">
        <v>20</v>
      </c>
      <c r="H33" t="s">
        <v>51</v>
      </c>
      <c r="I33">
        <v>40</v>
      </c>
      <c r="J33" t="s">
        <v>38</v>
      </c>
      <c r="K33" t="s">
        <v>36</v>
      </c>
      <c r="L33" t="s">
        <v>58</v>
      </c>
      <c r="M33" t="s">
        <v>59</v>
      </c>
      <c r="N33" s="1">
        <v>43466</v>
      </c>
      <c r="O33" s="1">
        <v>43525</v>
      </c>
      <c r="P33" t="s">
        <v>25</v>
      </c>
      <c r="Q33" t="s">
        <v>52</v>
      </c>
      <c r="R33" t="s">
        <v>27</v>
      </c>
      <c r="S33" t="s">
        <v>34</v>
      </c>
      <c r="T33" t="s">
        <v>39</v>
      </c>
      <c r="U33">
        <v>28</v>
      </c>
      <c r="V33">
        <v>28</v>
      </c>
      <c r="W33" t="s">
        <v>60</v>
      </c>
    </row>
    <row r="34" spans="1:23" x14ac:dyDescent="0.25">
      <c r="A34">
        <v>33</v>
      </c>
      <c r="B34" t="s">
        <v>65</v>
      </c>
      <c r="C34" t="s">
        <v>50</v>
      </c>
      <c r="D34" s="1">
        <v>33884</v>
      </c>
      <c r="E34">
        <v>178</v>
      </c>
      <c r="F34">
        <v>54</v>
      </c>
      <c r="G34" t="s">
        <v>20</v>
      </c>
      <c r="H34" t="s">
        <v>51</v>
      </c>
      <c r="I34">
        <v>40</v>
      </c>
      <c r="J34" t="s">
        <v>36</v>
      </c>
      <c r="K34" t="s">
        <v>36</v>
      </c>
      <c r="L34" t="s">
        <v>58</v>
      </c>
      <c r="M34" t="s">
        <v>59</v>
      </c>
      <c r="N34" s="1">
        <v>43745</v>
      </c>
      <c r="O34" s="1">
        <v>43525</v>
      </c>
      <c r="P34" t="s">
        <v>25</v>
      </c>
      <c r="Q34" t="s">
        <v>52</v>
      </c>
      <c r="R34" t="s">
        <v>27</v>
      </c>
      <c r="S34" t="s">
        <v>34</v>
      </c>
      <c r="T34" t="s">
        <v>37</v>
      </c>
      <c r="U34">
        <v>28</v>
      </c>
      <c r="V34">
        <v>17</v>
      </c>
      <c r="W34" t="s">
        <v>79</v>
      </c>
    </row>
    <row r="35" spans="1:23" x14ac:dyDescent="0.25">
      <c r="A35">
        <v>34</v>
      </c>
      <c r="B35" t="s">
        <v>65</v>
      </c>
      <c r="C35" t="s">
        <v>57</v>
      </c>
      <c r="D35" s="1">
        <v>33884</v>
      </c>
      <c r="E35">
        <v>178</v>
      </c>
      <c r="F35">
        <v>54</v>
      </c>
      <c r="H35" t="s">
        <v>51</v>
      </c>
      <c r="I35">
        <v>3</v>
      </c>
      <c r="J35" t="s">
        <v>38</v>
      </c>
      <c r="K35" t="s">
        <v>36</v>
      </c>
      <c r="L35" t="s">
        <v>138</v>
      </c>
      <c r="M35" t="s">
        <v>139</v>
      </c>
      <c r="N35" s="1">
        <v>43745</v>
      </c>
      <c r="O35" t="s">
        <v>140</v>
      </c>
      <c r="P35" t="s">
        <v>25</v>
      </c>
      <c r="Q35" t="s">
        <v>66</v>
      </c>
      <c r="R35" t="s">
        <v>26</v>
      </c>
      <c r="S35" t="s">
        <v>34</v>
      </c>
      <c r="T35" t="s">
        <v>37</v>
      </c>
      <c r="U35">
        <v>28</v>
      </c>
      <c r="V35">
        <v>17</v>
      </c>
      <c r="W35" t="s">
        <v>79</v>
      </c>
    </row>
    <row r="36" spans="1:23" x14ac:dyDescent="0.25">
      <c r="A36">
        <v>35</v>
      </c>
      <c r="B36" t="s">
        <v>65</v>
      </c>
      <c r="C36" t="s">
        <v>57</v>
      </c>
      <c r="D36" s="1">
        <v>33729</v>
      </c>
      <c r="E36">
        <v>180</v>
      </c>
      <c r="F36">
        <v>76</v>
      </c>
      <c r="H36" t="s">
        <v>51</v>
      </c>
      <c r="I36">
        <v>34</v>
      </c>
      <c r="J36" t="s">
        <v>38</v>
      </c>
      <c r="K36" t="s">
        <v>36</v>
      </c>
      <c r="L36" t="s">
        <v>81</v>
      </c>
      <c r="M36" t="s">
        <v>141</v>
      </c>
      <c r="N36" t="s">
        <v>142</v>
      </c>
      <c r="O36" s="1">
        <v>43473</v>
      </c>
      <c r="P36" t="s">
        <v>25</v>
      </c>
      <c r="Q36" t="s">
        <v>66</v>
      </c>
      <c r="R36" t="s">
        <v>27</v>
      </c>
      <c r="S36" t="s">
        <v>33</v>
      </c>
      <c r="T36" t="s">
        <v>36</v>
      </c>
      <c r="U36">
        <v>28</v>
      </c>
      <c r="V36">
        <v>23</v>
      </c>
      <c r="W36" t="s">
        <v>48</v>
      </c>
    </row>
    <row r="37" spans="1:23" x14ac:dyDescent="0.25">
      <c r="A37">
        <v>36</v>
      </c>
      <c r="B37" t="s">
        <v>49</v>
      </c>
      <c r="C37" t="s">
        <v>50</v>
      </c>
      <c r="D37" s="1">
        <v>31902</v>
      </c>
      <c r="E37">
        <v>180</v>
      </c>
      <c r="F37">
        <v>103</v>
      </c>
      <c r="G37" t="s">
        <v>22</v>
      </c>
      <c r="H37" t="s">
        <v>20</v>
      </c>
      <c r="I37">
        <v>29</v>
      </c>
      <c r="J37" t="s">
        <v>38</v>
      </c>
      <c r="K37" t="s">
        <v>36</v>
      </c>
      <c r="L37" t="s">
        <v>143</v>
      </c>
      <c r="M37" t="s">
        <v>144</v>
      </c>
      <c r="N37" s="1">
        <v>43653</v>
      </c>
      <c r="O37" s="1">
        <v>43473</v>
      </c>
      <c r="P37" t="s">
        <v>25</v>
      </c>
      <c r="Q37" t="s">
        <v>66</v>
      </c>
      <c r="R37" t="s">
        <v>27</v>
      </c>
      <c r="S37" t="s">
        <v>31</v>
      </c>
      <c r="T37" t="s">
        <v>36</v>
      </c>
      <c r="U37">
        <v>33</v>
      </c>
      <c r="V37">
        <v>32</v>
      </c>
      <c r="W37" t="s">
        <v>74</v>
      </c>
    </row>
    <row r="38" spans="1:23" x14ac:dyDescent="0.25">
      <c r="A38">
        <v>37</v>
      </c>
      <c r="B38" t="s">
        <v>49</v>
      </c>
      <c r="C38" t="s">
        <v>50</v>
      </c>
      <c r="D38" t="s">
        <v>145</v>
      </c>
      <c r="E38">
        <v>159</v>
      </c>
      <c r="F38">
        <v>76</v>
      </c>
      <c r="G38" t="s">
        <v>22</v>
      </c>
      <c r="H38" t="s">
        <v>20</v>
      </c>
      <c r="I38">
        <v>0</v>
      </c>
      <c r="J38" t="s">
        <v>38</v>
      </c>
      <c r="K38" t="s">
        <v>36</v>
      </c>
      <c r="L38" t="s">
        <v>146</v>
      </c>
      <c r="M38" t="s">
        <v>147</v>
      </c>
      <c r="N38" s="1">
        <v>43653</v>
      </c>
      <c r="O38" s="1">
        <v>43473</v>
      </c>
      <c r="P38" t="s">
        <v>25</v>
      </c>
      <c r="Q38" t="s">
        <v>66</v>
      </c>
      <c r="R38" t="s">
        <v>27</v>
      </c>
      <c r="S38" t="s">
        <v>29</v>
      </c>
      <c r="T38" t="s">
        <v>36</v>
      </c>
      <c r="U38">
        <v>31</v>
      </c>
      <c r="V38">
        <v>30</v>
      </c>
      <c r="W38" t="s">
        <v>60</v>
      </c>
    </row>
    <row r="39" spans="1:23" x14ac:dyDescent="0.25">
      <c r="A39">
        <v>38</v>
      </c>
      <c r="B39" t="s">
        <v>49</v>
      </c>
      <c r="C39" t="s">
        <v>50</v>
      </c>
      <c r="D39" t="s">
        <v>148</v>
      </c>
      <c r="E39">
        <v>178</v>
      </c>
      <c r="F39">
        <v>90</v>
      </c>
      <c r="G39" t="s">
        <v>21</v>
      </c>
      <c r="H39" t="s">
        <v>20</v>
      </c>
      <c r="I39">
        <v>40</v>
      </c>
      <c r="J39" t="s">
        <v>38</v>
      </c>
      <c r="K39" t="s">
        <v>36</v>
      </c>
      <c r="L39" t="s">
        <v>149</v>
      </c>
      <c r="M39" t="s">
        <v>110</v>
      </c>
      <c r="N39" t="s">
        <v>150</v>
      </c>
      <c r="O39" s="1">
        <v>43473</v>
      </c>
      <c r="P39" t="s">
        <v>23</v>
      </c>
      <c r="Q39" t="s">
        <v>52</v>
      </c>
      <c r="R39" t="s">
        <v>28</v>
      </c>
      <c r="S39" t="s">
        <v>29</v>
      </c>
      <c r="T39" t="s">
        <v>36</v>
      </c>
      <c r="U39">
        <v>31</v>
      </c>
      <c r="V39">
        <v>28</v>
      </c>
      <c r="W39" t="s">
        <v>60</v>
      </c>
    </row>
    <row r="40" spans="1:23" x14ac:dyDescent="0.25">
      <c r="A40">
        <v>39</v>
      </c>
      <c r="B40" t="s">
        <v>65</v>
      </c>
      <c r="C40" t="s">
        <v>57</v>
      </c>
      <c r="D40" t="s">
        <v>151</v>
      </c>
      <c r="E40">
        <v>178</v>
      </c>
      <c r="F40">
        <v>96</v>
      </c>
      <c r="H40" t="s">
        <v>20</v>
      </c>
      <c r="I40">
        <v>46</v>
      </c>
      <c r="J40" t="s">
        <v>38</v>
      </c>
      <c r="K40" t="s">
        <v>36</v>
      </c>
      <c r="L40" t="s">
        <v>138</v>
      </c>
      <c r="M40" t="s">
        <v>152</v>
      </c>
      <c r="N40" t="s">
        <v>153</v>
      </c>
      <c r="O40" t="s">
        <v>154</v>
      </c>
      <c r="P40" t="s">
        <v>25</v>
      </c>
      <c r="Q40" t="s">
        <v>66</v>
      </c>
      <c r="R40" t="s">
        <v>27</v>
      </c>
      <c r="S40" t="s">
        <v>33</v>
      </c>
      <c r="T40" t="s">
        <v>37</v>
      </c>
      <c r="U40">
        <v>50</v>
      </c>
      <c r="V40">
        <v>30</v>
      </c>
      <c r="W40" t="s">
        <v>60</v>
      </c>
    </row>
    <row r="41" spans="1:23" x14ac:dyDescent="0.25">
      <c r="A41">
        <v>40</v>
      </c>
      <c r="B41" t="s">
        <v>65</v>
      </c>
      <c r="C41" t="s">
        <v>57</v>
      </c>
      <c r="D41" t="s">
        <v>155</v>
      </c>
      <c r="E41">
        <v>178</v>
      </c>
      <c r="F41">
        <v>87</v>
      </c>
      <c r="H41" t="s">
        <v>20</v>
      </c>
      <c r="I41">
        <v>0</v>
      </c>
      <c r="J41" t="s">
        <v>38</v>
      </c>
      <c r="K41" t="s">
        <v>36</v>
      </c>
      <c r="L41" t="s">
        <v>138</v>
      </c>
      <c r="M41" t="s">
        <v>156</v>
      </c>
      <c r="N41" t="s">
        <v>157</v>
      </c>
      <c r="O41" t="s">
        <v>158</v>
      </c>
      <c r="P41" t="s">
        <v>25</v>
      </c>
      <c r="Q41" t="s">
        <v>66</v>
      </c>
      <c r="R41" t="s">
        <v>30</v>
      </c>
      <c r="S41" t="s">
        <v>34</v>
      </c>
      <c r="T41" t="s">
        <v>36</v>
      </c>
      <c r="U41">
        <v>64</v>
      </c>
      <c r="V41">
        <v>27</v>
      </c>
      <c r="W41" t="s">
        <v>60</v>
      </c>
    </row>
    <row r="42" spans="1:23" x14ac:dyDescent="0.25">
      <c r="A42">
        <v>41</v>
      </c>
      <c r="B42" t="s">
        <v>65</v>
      </c>
      <c r="C42" t="s">
        <v>50</v>
      </c>
      <c r="D42" t="s">
        <v>159</v>
      </c>
      <c r="E42">
        <v>178</v>
      </c>
      <c r="F42">
        <v>62</v>
      </c>
      <c r="G42" t="s">
        <v>21</v>
      </c>
      <c r="H42" t="s">
        <v>20</v>
      </c>
      <c r="I42">
        <v>65</v>
      </c>
      <c r="J42" t="s">
        <v>38</v>
      </c>
      <c r="K42" t="s">
        <v>36</v>
      </c>
      <c r="L42" t="s">
        <v>160</v>
      </c>
      <c r="M42" t="s">
        <v>93</v>
      </c>
      <c r="N42" t="s">
        <v>161</v>
      </c>
      <c r="O42" t="s">
        <v>162</v>
      </c>
      <c r="P42" t="s">
        <v>25</v>
      </c>
      <c r="Q42" t="s">
        <v>66</v>
      </c>
      <c r="R42" t="s">
        <v>26</v>
      </c>
      <c r="S42" t="s">
        <v>32</v>
      </c>
      <c r="T42" t="s">
        <v>39</v>
      </c>
      <c r="U42">
        <v>72</v>
      </c>
      <c r="V42">
        <v>20</v>
      </c>
      <c r="W42" t="s">
        <v>48</v>
      </c>
    </row>
    <row r="43" spans="1:23" x14ac:dyDescent="0.25">
      <c r="A43">
        <v>42</v>
      </c>
      <c r="B43" t="s">
        <v>65</v>
      </c>
      <c r="C43" t="s">
        <v>50</v>
      </c>
      <c r="D43" t="s">
        <v>163</v>
      </c>
      <c r="E43">
        <v>179</v>
      </c>
      <c r="F43">
        <v>68</v>
      </c>
      <c r="G43" t="s">
        <v>21</v>
      </c>
      <c r="H43" t="s">
        <v>20</v>
      </c>
      <c r="I43">
        <v>5</v>
      </c>
      <c r="J43" t="s">
        <v>38</v>
      </c>
      <c r="K43" t="s">
        <v>36</v>
      </c>
      <c r="L43" t="s">
        <v>164</v>
      </c>
      <c r="M43" t="s">
        <v>165</v>
      </c>
      <c r="N43" s="1">
        <v>43477</v>
      </c>
      <c r="O43" t="s">
        <v>166</v>
      </c>
      <c r="P43" t="s">
        <v>25</v>
      </c>
      <c r="Q43" t="s">
        <v>52</v>
      </c>
      <c r="R43" t="s">
        <v>30</v>
      </c>
      <c r="S43" t="s">
        <v>29</v>
      </c>
      <c r="T43" t="s">
        <v>37</v>
      </c>
      <c r="U43">
        <v>68</v>
      </c>
      <c r="V43">
        <v>21</v>
      </c>
      <c r="W43" t="s">
        <v>48</v>
      </c>
    </row>
    <row r="44" spans="1:23" x14ac:dyDescent="0.25">
      <c r="A44">
        <v>43</v>
      </c>
      <c r="B44" t="s">
        <v>65</v>
      </c>
      <c r="C44" t="s">
        <v>50</v>
      </c>
      <c r="D44" t="s">
        <v>167</v>
      </c>
      <c r="E44">
        <v>196</v>
      </c>
      <c r="F44">
        <v>65</v>
      </c>
      <c r="G44" t="s">
        <v>21</v>
      </c>
      <c r="H44" t="s">
        <v>20</v>
      </c>
      <c r="I44">
        <v>15</v>
      </c>
      <c r="J44" t="s">
        <v>38</v>
      </c>
      <c r="K44" t="s">
        <v>36</v>
      </c>
      <c r="L44" t="s">
        <v>68</v>
      </c>
      <c r="M44" t="s">
        <v>110</v>
      </c>
      <c r="N44" s="1">
        <v>43477</v>
      </c>
      <c r="O44" s="1">
        <v>43508</v>
      </c>
      <c r="P44" t="s">
        <v>23</v>
      </c>
      <c r="Q44" t="s">
        <v>52</v>
      </c>
      <c r="R44" t="s">
        <v>28</v>
      </c>
      <c r="S44" t="s">
        <v>29</v>
      </c>
      <c r="T44" t="s">
        <v>36</v>
      </c>
      <c r="U44">
        <v>21</v>
      </c>
      <c r="V44">
        <v>17</v>
      </c>
      <c r="W44" t="s">
        <v>79</v>
      </c>
    </row>
    <row r="45" spans="1:23" x14ac:dyDescent="0.25">
      <c r="A45">
        <v>44</v>
      </c>
      <c r="B45" t="s">
        <v>65</v>
      </c>
      <c r="C45" t="s">
        <v>50</v>
      </c>
      <c r="D45" t="s">
        <v>168</v>
      </c>
      <c r="E45">
        <v>161</v>
      </c>
      <c r="F45">
        <v>65</v>
      </c>
      <c r="G45" t="s">
        <v>21</v>
      </c>
      <c r="H45" t="s">
        <v>20</v>
      </c>
      <c r="I45">
        <v>13</v>
      </c>
      <c r="J45" t="s">
        <v>36</v>
      </c>
      <c r="K45" t="s">
        <v>36</v>
      </c>
      <c r="L45" t="s">
        <v>68</v>
      </c>
      <c r="M45" t="s">
        <v>169</v>
      </c>
      <c r="N45" s="1">
        <v>43498</v>
      </c>
      <c r="O45" s="1">
        <v>43679</v>
      </c>
      <c r="P45" t="s">
        <v>24</v>
      </c>
      <c r="Q45" t="s">
        <v>52</v>
      </c>
      <c r="R45" t="s">
        <v>30</v>
      </c>
      <c r="S45" t="s">
        <v>29</v>
      </c>
      <c r="T45" t="s">
        <v>36</v>
      </c>
      <c r="U45">
        <v>63</v>
      </c>
      <c r="V45">
        <v>25</v>
      </c>
      <c r="W45" t="s">
        <v>48</v>
      </c>
    </row>
    <row r="46" spans="1:23" x14ac:dyDescent="0.25">
      <c r="A46">
        <v>45</v>
      </c>
      <c r="B46" t="s">
        <v>49</v>
      </c>
      <c r="C46" t="s">
        <v>57</v>
      </c>
      <c r="D46" s="1">
        <v>34490</v>
      </c>
      <c r="E46">
        <v>171</v>
      </c>
      <c r="F46">
        <v>76</v>
      </c>
      <c r="H46" t="s">
        <v>20</v>
      </c>
      <c r="I46">
        <v>10</v>
      </c>
      <c r="J46" t="s">
        <v>36</v>
      </c>
      <c r="K46" t="s">
        <v>36</v>
      </c>
      <c r="L46" t="s">
        <v>81</v>
      </c>
      <c r="M46" t="s">
        <v>170</v>
      </c>
      <c r="N46" s="1">
        <v>43526</v>
      </c>
      <c r="O46" s="1">
        <v>43679</v>
      </c>
      <c r="P46" t="s">
        <v>24</v>
      </c>
      <c r="Q46" t="s">
        <v>52</v>
      </c>
      <c r="R46" t="s">
        <v>30</v>
      </c>
      <c r="S46" t="s">
        <v>34</v>
      </c>
      <c r="T46" t="s">
        <v>36</v>
      </c>
      <c r="U46">
        <v>26</v>
      </c>
      <c r="V46">
        <v>26</v>
      </c>
      <c r="W46" t="s">
        <v>60</v>
      </c>
    </row>
    <row r="47" spans="1:23" x14ac:dyDescent="0.25">
      <c r="A47">
        <v>46</v>
      </c>
      <c r="B47" t="s">
        <v>65</v>
      </c>
      <c r="C47" t="s">
        <v>50</v>
      </c>
      <c r="D47" s="1">
        <v>34824</v>
      </c>
      <c r="E47">
        <v>161</v>
      </c>
      <c r="F47">
        <v>76</v>
      </c>
      <c r="G47" t="s">
        <v>21</v>
      </c>
      <c r="H47" t="s">
        <v>20</v>
      </c>
      <c r="I47">
        <v>10</v>
      </c>
      <c r="J47" t="s">
        <v>36</v>
      </c>
      <c r="K47" t="s">
        <v>36</v>
      </c>
      <c r="L47" t="s">
        <v>81</v>
      </c>
      <c r="M47" t="s">
        <v>170</v>
      </c>
      <c r="N47" s="1">
        <v>43498</v>
      </c>
      <c r="O47" s="1">
        <v>43679</v>
      </c>
      <c r="P47" t="s">
        <v>24</v>
      </c>
      <c r="Q47" t="s">
        <v>52</v>
      </c>
      <c r="R47" t="s">
        <v>30</v>
      </c>
      <c r="S47" t="s">
        <v>34</v>
      </c>
      <c r="T47" t="s">
        <v>36</v>
      </c>
      <c r="U47">
        <v>25</v>
      </c>
      <c r="V47">
        <v>29</v>
      </c>
      <c r="W47" t="s">
        <v>60</v>
      </c>
    </row>
    <row r="48" spans="1:23" x14ac:dyDescent="0.25">
      <c r="A48">
        <v>47</v>
      </c>
      <c r="B48" t="s">
        <v>49</v>
      </c>
      <c r="C48" t="s">
        <v>57</v>
      </c>
      <c r="D48" s="1">
        <v>33090</v>
      </c>
      <c r="E48">
        <v>171</v>
      </c>
      <c r="F48">
        <v>86</v>
      </c>
      <c r="H48" t="s">
        <v>51</v>
      </c>
      <c r="I48">
        <v>19</v>
      </c>
      <c r="J48" t="s">
        <v>38</v>
      </c>
      <c r="K48" t="s">
        <v>36</v>
      </c>
      <c r="L48" t="s">
        <v>81</v>
      </c>
      <c r="M48" t="s">
        <v>171</v>
      </c>
      <c r="N48" s="1">
        <v>43526</v>
      </c>
      <c r="O48" s="1">
        <v>43740</v>
      </c>
      <c r="P48" t="s">
        <v>25</v>
      </c>
      <c r="Q48" t="s">
        <v>66</v>
      </c>
      <c r="R48" t="s">
        <v>27</v>
      </c>
      <c r="S48" t="s">
        <v>34</v>
      </c>
      <c r="T48" t="s">
        <v>37</v>
      </c>
      <c r="U48">
        <v>30</v>
      </c>
      <c r="V48">
        <v>29</v>
      </c>
      <c r="W48" t="s">
        <v>60</v>
      </c>
    </row>
    <row r="49" spans="1:23" x14ac:dyDescent="0.25">
      <c r="A49">
        <v>48</v>
      </c>
      <c r="B49" t="s">
        <v>65</v>
      </c>
      <c r="C49" t="s">
        <v>50</v>
      </c>
      <c r="D49" t="s">
        <v>172</v>
      </c>
      <c r="E49">
        <v>191</v>
      </c>
      <c r="F49">
        <v>80</v>
      </c>
      <c r="G49" t="s">
        <v>20</v>
      </c>
      <c r="H49" t="s">
        <v>20</v>
      </c>
      <c r="I49">
        <v>9</v>
      </c>
      <c r="J49" t="s">
        <v>38</v>
      </c>
      <c r="K49" t="s">
        <v>36</v>
      </c>
      <c r="L49" t="s">
        <v>95</v>
      </c>
      <c r="M49" t="s">
        <v>171</v>
      </c>
      <c r="N49" s="1">
        <v>43536</v>
      </c>
      <c r="O49" s="1">
        <v>43750</v>
      </c>
      <c r="P49" t="s">
        <v>25</v>
      </c>
      <c r="Q49" t="s">
        <v>52</v>
      </c>
      <c r="R49" t="s">
        <v>27</v>
      </c>
      <c r="S49" t="s">
        <v>29</v>
      </c>
      <c r="T49" t="s">
        <v>37</v>
      </c>
      <c r="U49">
        <v>30</v>
      </c>
      <c r="V49">
        <v>22</v>
      </c>
      <c r="W49" t="s">
        <v>48</v>
      </c>
    </row>
    <row r="50" spans="1:23" x14ac:dyDescent="0.25">
      <c r="A50">
        <v>49</v>
      </c>
      <c r="B50" t="s">
        <v>65</v>
      </c>
      <c r="C50" t="s">
        <v>57</v>
      </c>
      <c r="D50" t="s">
        <v>173</v>
      </c>
      <c r="E50">
        <v>191</v>
      </c>
      <c r="F50">
        <v>87</v>
      </c>
      <c r="H50" t="s">
        <v>20</v>
      </c>
      <c r="I50">
        <v>0</v>
      </c>
      <c r="J50" t="s">
        <v>38</v>
      </c>
      <c r="K50" t="s">
        <v>36</v>
      </c>
      <c r="L50" t="s">
        <v>174</v>
      </c>
      <c r="M50" t="s">
        <v>77</v>
      </c>
      <c r="N50" s="1">
        <v>43536</v>
      </c>
      <c r="O50" t="s">
        <v>88</v>
      </c>
      <c r="P50" t="s">
        <v>25</v>
      </c>
      <c r="Q50" t="s">
        <v>52</v>
      </c>
      <c r="R50" t="s">
        <v>27</v>
      </c>
      <c r="S50" t="s">
        <v>35</v>
      </c>
      <c r="T50" t="s">
        <v>39</v>
      </c>
      <c r="U50">
        <v>30</v>
      </c>
      <c r="V50">
        <v>24</v>
      </c>
      <c r="W50" t="s">
        <v>48</v>
      </c>
    </row>
    <row r="51" spans="1:23" x14ac:dyDescent="0.25">
      <c r="A51">
        <v>50</v>
      </c>
      <c r="B51" t="s">
        <v>49</v>
      </c>
      <c r="C51" t="s">
        <v>50</v>
      </c>
      <c r="D51" t="s">
        <v>175</v>
      </c>
      <c r="E51">
        <v>120</v>
      </c>
      <c r="F51">
        <v>20</v>
      </c>
      <c r="G51" t="s">
        <v>21</v>
      </c>
      <c r="H51" t="s">
        <v>20</v>
      </c>
      <c r="I51">
        <v>20</v>
      </c>
      <c r="J51" t="s">
        <v>38</v>
      </c>
      <c r="K51" t="s">
        <v>36</v>
      </c>
      <c r="L51" t="s">
        <v>61</v>
      </c>
      <c r="M51" t="s">
        <v>176</v>
      </c>
      <c r="N51" t="s">
        <v>127</v>
      </c>
      <c r="O51" t="s">
        <v>177</v>
      </c>
      <c r="P51" t="s">
        <v>23</v>
      </c>
      <c r="Q51" t="s">
        <v>52</v>
      </c>
      <c r="R51" t="s">
        <v>27</v>
      </c>
      <c r="S51" t="s">
        <v>29</v>
      </c>
      <c r="T51" t="s">
        <v>36</v>
      </c>
      <c r="U51">
        <v>1</v>
      </c>
      <c r="V51">
        <v>14</v>
      </c>
      <c r="W51" t="s">
        <v>241</v>
      </c>
    </row>
    <row r="52" spans="1:23" x14ac:dyDescent="0.25">
      <c r="A52">
        <v>51</v>
      </c>
      <c r="B52" t="s">
        <v>49</v>
      </c>
      <c r="C52" t="s">
        <v>50</v>
      </c>
      <c r="D52" t="s">
        <v>178</v>
      </c>
      <c r="E52">
        <v>167</v>
      </c>
      <c r="F52">
        <v>87</v>
      </c>
      <c r="G52" t="s">
        <v>20</v>
      </c>
      <c r="H52" t="s">
        <v>20</v>
      </c>
      <c r="I52">
        <v>30</v>
      </c>
      <c r="J52" t="s">
        <v>38</v>
      </c>
      <c r="K52" t="s">
        <v>36</v>
      </c>
      <c r="L52" t="s">
        <v>115</v>
      </c>
      <c r="M52" t="s">
        <v>84</v>
      </c>
      <c r="N52" s="1">
        <v>43536</v>
      </c>
      <c r="O52" t="s">
        <v>88</v>
      </c>
      <c r="P52" t="s">
        <v>23</v>
      </c>
      <c r="Q52" t="s">
        <v>52</v>
      </c>
      <c r="R52" t="s">
        <v>28</v>
      </c>
      <c r="S52" t="s">
        <v>29</v>
      </c>
      <c r="T52" t="s">
        <v>37</v>
      </c>
      <c r="U52">
        <v>30</v>
      </c>
      <c r="V52">
        <v>31</v>
      </c>
      <c r="W52" t="s">
        <v>74</v>
      </c>
    </row>
    <row r="53" spans="1:23" x14ac:dyDescent="0.25">
      <c r="A53">
        <v>52</v>
      </c>
      <c r="B53" t="s">
        <v>49</v>
      </c>
      <c r="C53" t="s">
        <v>50</v>
      </c>
      <c r="D53" t="s">
        <v>179</v>
      </c>
      <c r="E53">
        <v>145</v>
      </c>
      <c r="F53">
        <v>42</v>
      </c>
      <c r="G53" t="s">
        <v>21</v>
      </c>
      <c r="H53" t="s">
        <v>51</v>
      </c>
      <c r="I53">
        <v>22</v>
      </c>
      <c r="J53" t="s">
        <v>38</v>
      </c>
      <c r="K53" t="s">
        <v>36</v>
      </c>
      <c r="L53" t="s">
        <v>61</v>
      </c>
      <c r="M53" t="s">
        <v>176</v>
      </c>
      <c r="N53" t="s">
        <v>180</v>
      </c>
      <c r="O53" t="s">
        <v>181</v>
      </c>
      <c r="P53" t="s">
        <v>25</v>
      </c>
      <c r="Q53" t="s">
        <v>66</v>
      </c>
      <c r="R53" t="s">
        <v>26</v>
      </c>
      <c r="S53" t="s">
        <v>29</v>
      </c>
      <c r="T53" t="s">
        <v>36</v>
      </c>
      <c r="U53">
        <v>13</v>
      </c>
      <c r="V53">
        <v>20</v>
      </c>
      <c r="W53" t="s">
        <v>48</v>
      </c>
    </row>
    <row r="54" spans="1:23" x14ac:dyDescent="0.25">
      <c r="A54">
        <v>53</v>
      </c>
      <c r="B54" t="s">
        <v>49</v>
      </c>
      <c r="C54" t="s">
        <v>50</v>
      </c>
      <c r="D54" t="s">
        <v>182</v>
      </c>
      <c r="E54">
        <v>145</v>
      </c>
      <c r="F54">
        <v>68</v>
      </c>
      <c r="G54" t="s">
        <v>21</v>
      </c>
      <c r="H54" t="s">
        <v>20</v>
      </c>
      <c r="I54">
        <v>20</v>
      </c>
      <c r="J54" t="s">
        <v>38</v>
      </c>
      <c r="K54" t="s">
        <v>36</v>
      </c>
      <c r="L54" t="s">
        <v>61</v>
      </c>
      <c r="M54" t="s">
        <v>128</v>
      </c>
      <c r="N54" t="s">
        <v>180</v>
      </c>
      <c r="O54" t="s">
        <v>183</v>
      </c>
      <c r="P54" t="s">
        <v>25</v>
      </c>
      <c r="Q54" t="s">
        <v>66</v>
      </c>
      <c r="R54" t="s">
        <v>27</v>
      </c>
      <c r="S54" t="s">
        <v>29</v>
      </c>
      <c r="T54" t="s">
        <v>36</v>
      </c>
      <c r="U54">
        <v>19</v>
      </c>
      <c r="V54">
        <v>32</v>
      </c>
      <c r="W54" t="s">
        <v>74</v>
      </c>
    </row>
    <row r="55" spans="1:23" x14ac:dyDescent="0.25">
      <c r="A55">
        <v>54</v>
      </c>
      <c r="B55" t="s">
        <v>65</v>
      </c>
      <c r="C55" t="s">
        <v>57</v>
      </c>
      <c r="D55" t="s">
        <v>184</v>
      </c>
      <c r="E55">
        <v>172</v>
      </c>
      <c r="F55">
        <v>104</v>
      </c>
      <c r="H55" t="s">
        <v>20</v>
      </c>
      <c r="I55">
        <v>0</v>
      </c>
      <c r="J55" t="s">
        <v>38</v>
      </c>
      <c r="K55" t="s">
        <v>36</v>
      </c>
      <c r="L55" t="s">
        <v>185</v>
      </c>
      <c r="M55" t="s">
        <v>128</v>
      </c>
      <c r="N55" t="s">
        <v>186</v>
      </c>
      <c r="O55" s="1">
        <v>43498</v>
      </c>
      <c r="P55" t="s">
        <v>23</v>
      </c>
      <c r="Q55" t="s">
        <v>52</v>
      </c>
      <c r="R55" t="s">
        <v>28</v>
      </c>
      <c r="S55" t="s">
        <v>29</v>
      </c>
      <c r="T55" t="s">
        <v>36</v>
      </c>
      <c r="U55">
        <v>10</v>
      </c>
      <c r="V55">
        <v>35</v>
      </c>
      <c r="W55" t="s">
        <v>74</v>
      </c>
    </row>
    <row r="56" spans="1:23" x14ac:dyDescent="0.25">
      <c r="A56">
        <v>55</v>
      </c>
      <c r="B56" t="s">
        <v>65</v>
      </c>
      <c r="C56" t="s">
        <v>57</v>
      </c>
      <c r="D56" t="s">
        <v>187</v>
      </c>
      <c r="E56">
        <v>192</v>
      </c>
      <c r="F56">
        <v>110</v>
      </c>
      <c r="H56" t="s">
        <v>51</v>
      </c>
      <c r="I56">
        <v>30</v>
      </c>
      <c r="J56" t="s">
        <v>38</v>
      </c>
      <c r="K56" t="s">
        <v>36</v>
      </c>
      <c r="L56" t="s">
        <v>53</v>
      </c>
      <c r="M56" t="s">
        <v>59</v>
      </c>
      <c r="N56" s="1">
        <v>43586</v>
      </c>
      <c r="O56" s="1">
        <v>43800</v>
      </c>
      <c r="P56" t="s">
        <v>24</v>
      </c>
      <c r="Q56" t="s">
        <v>52</v>
      </c>
      <c r="R56" t="s">
        <v>28</v>
      </c>
      <c r="S56" t="s">
        <v>29</v>
      </c>
      <c r="T56" t="s">
        <v>37</v>
      </c>
      <c r="U56">
        <v>21</v>
      </c>
      <c r="V56">
        <v>30</v>
      </c>
      <c r="W56" t="s">
        <v>60</v>
      </c>
    </row>
    <row r="57" spans="1:23" x14ac:dyDescent="0.25">
      <c r="A57">
        <v>56</v>
      </c>
      <c r="B57" t="s">
        <v>49</v>
      </c>
      <c r="C57" t="s">
        <v>50</v>
      </c>
      <c r="D57" t="s">
        <v>188</v>
      </c>
      <c r="E57">
        <v>192</v>
      </c>
      <c r="F57">
        <v>89</v>
      </c>
      <c r="G57" t="s">
        <v>22</v>
      </c>
      <c r="H57" t="s">
        <v>20</v>
      </c>
      <c r="I57">
        <v>25</v>
      </c>
      <c r="J57" t="s">
        <v>38</v>
      </c>
      <c r="K57" t="s">
        <v>36</v>
      </c>
      <c r="L57" t="s">
        <v>58</v>
      </c>
      <c r="M57" t="s">
        <v>141</v>
      </c>
      <c r="N57" t="s">
        <v>189</v>
      </c>
      <c r="O57" s="1">
        <v>43801</v>
      </c>
      <c r="P57" t="s">
        <v>25</v>
      </c>
      <c r="Q57" t="s">
        <v>66</v>
      </c>
      <c r="R57" t="s">
        <v>26</v>
      </c>
      <c r="S57" t="s">
        <v>29</v>
      </c>
      <c r="T57" t="s">
        <v>36</v>
      </c>
      <c r="U57">
        <v>42</v>
      </c>
      <c r="V57">
        <v>24</v>
      </c>
      <c r="W57" t="s">
        <v>48</v>
      </c>
    </row>
    <row r="58" spans="1:23" x14ac:dyDescent="0.25">
      <c r="A58">
        <v>57</v>
      </c>
      <c r="B58" t="s">
        <v>65</v>
      </c>
      <c r="C58" t="s">
        <v>57</v>
      </c>
      <c r="D58" t="s">
        <v>190</v>
      </c>
      <c r="E58">
        <v>162</v>
      </c>
      <c r="F58">
        <v>96</v>
      </c>
      <c r="H58" t="s">
        <v>20</v>
      </c>
      <c r="I58">
        <v>25</v>
      </c>
      <c r="J58" t="s">
        <v>38</v>
      </c>
      <c r="K58" t="s">
        <v>36</v>
      </c>
      <c r="L58" t="s">
        <v>58</v>
      </c>
      <c r="M58" t="s">
        <v>141</v>
      </c>
      <c r="N58" t="s">
        <v>191</v>
      </c>
      <c r="O58" t="s">
        <v>192</v>
      </c>
      <c r="P58" t="s">
        <v>25</v>
      </c>
      <c r="Q58" t="s">
        <v>66</v>
      </c>
      <c r="R58" t="s">
        <v>26</v>
      </c>
      <c r="S58" t="s">
        <v>29</v>
      </c>
      <c r="T58" t="s">
        <v>36</v>
      </c>
      <c r="U58">
        <v>42</v>
      </c>
      <c r="V58">
        <v>37</v>
      </c>
      <c r="W58" t="s">
        <v>99</v>
      </c>
    </row>
    <row r="59" spans="1:23" x14ac:dyDescent="0.25">
      <c r="A59">
        <v>58</v>
      </c>
      <c r="B59" t="s">
        <v>65</v>
      </c>
      <c r="C59" t="s">
        <v>57</v>
      </c>
      <c r="D59" t="s">
        <v>193</v>
      </c>
      <c r="E59">
        <v>162</v>
      </c>
      <c r="F59">
        <v>93</v>
      </c>
      <c r="H59" t="s">
        <v>20</v>
      </c>
      <c r="I59">
        <v>25</v>
      </c>
      <c r="J59" t="s">
        <v>38</v>
      </c>
      <c r="K59" t="s">
        <v>36</v>
      </c>
      <c r="L59" t="s">
        <v>58</v>
      </c>
      <c r="M59" t="s">
        <v>194</v>
      </c>
      <c r="N59" t="s">
        <v>195</v>
      </c>
      <c r="O59" t="s">
        <v>196</v>
      </c>
      <c r="P59" t="s">
        <v>25</v>
      </c>
      <c r="Q59" t="s">
        <v>66</v>
      </c>
      <c r="R59" t="s">
        <v>26</v>
      </c>
      <c r="S59" t="s">
        <v>32</v>
      </c>
      <c r="T59" t="s">
        <v>36</v>
      </c>
      <c r="U59">
        <v>28</v>
      </c>
      <c r="V59">
        <v>35</v>
      </c>
      <c r="W59" t="s">
        <v>74</v>
      </c>
    </row>
    <row r="60" spans="1:23" x14ac:dyDescent="0.25">
      <c r="A60">
        <v>59</v>
      </c>
      <c r="B60" t="s">
        <v>49</v>
      </c>
      <c r="C60" t="s">
        <v>57</v>
      </c>
      <c r="D60" t="s">
        <v>193</v>
      </c>
      <c r="E60">
        <v>162</v>
      </c>
      <c r="F60">
        <v>65</v>
      </c>
      <c r="H60" t="s">
        <v>20</v>
      </c>
      <c r="I60">
        <v>0</v>
      </c>
      <c r="J60" t="s">
        <v>38</v>
      </c>
      <c r="K60" t="s">
        <v>36</v>
      </c>
      <c r="L60" t="s">
        <v>58</v>
      </c>
      <c r="M60" t="s">
        <v>194</v>
      </c>
      <c r="N60" s="1">
        <v>43468</v>
      </c>
      <c r="O60" s="1">
        <v>43469</v>
      </c>
      <c r="P60" t="s">
        <v>25</v>
      </c>
      <c r="Q60" t="s">
        <v>66</v>
      </c>
      <c r="R60" t="s">
        <v>26</v>
      </c>
      <c r="S60" t="s">
        <v>32</v>
      </c>
      <c r="T60" t="s">
        <v>36</v>
      </c>
      <c r="U60">
        <v>28</v>
      </c>
      <c r="V60">
        <v>25</v>
      </c>
      <c r="W60" t="s">
        <v>48</v>
      </c>
    </row>
    <row r="61" spans="1:23" x14ac:dyDescent="0.25">
      <c r="A61">
        <v>60</v>
      </c>
      <c r="B61" t="s">
        <v>65</v>
      </c>
      <c r="C61" t="s">
        <v>50</v>
      </c>
      <c r="D61" t="s">
        <v>193</v>
      </c>
      <c r="E61">
        <v>162</v>
      </c>
      <c r="F61">
        <v>65</v>
      </c>
      <c r="G61" t="s">
        <v>20</v>
      </c>
      <c r="H61" t="s">
        <v>20</v>
      </c>
      <c r="I61">
        <v>0</v>
      </c>
      <c r="J61" t="s">
        <v>38</v>
      </c>
      <c r="K61" t="s">
        <v>36</v>
      </c>
      <c r="L61" t="s">
        <v>58</v>
      </c>
      <c r="M61" t="s">
        <v>197</v>
      </c>
      <c r="N61" s="1">
        <v>43468</v>
      </c>
      <c r="O61" s="1">
        <v>43469</v>
      </c>
      <c r="P61" t="s">
        <v>25</v>
      </c>
      <c r="Q61" t="s">
        <v>66</v>
      </c>
      <c r="R61" t="s">
        <v>26</v>
      </c>
      <c r="S61" t="s">
        <v>32</v>
      </c>
      <c r="T61" t="s">
        <v>36</v>
      </c>
      <c r="U61">
        <v>28</v>
      </c>
      <c r="V61">
        <v>25</v>
      </c>
      <c r="W61" t="s">
        <v>48</v>
      </c>
    </row>
    <row r="62" spans="1:23" x14ac:dyDescent="0.25">
      <c r="A62">
        <v>61</v>
      </c>
      <c r="B62" t="s">
        <v>49</v>
      </c>
      <c r="C62" t="s">
        <v>57</v>
      </c>
      <c r="D62" s="1">
        <v>36138</v>
      </c>
      <c r="E62">
        <v>187</v>
      </c>
      <c r="F62">
        <v>71</v>
      </c>
      <c r="H62" t="s">
        <v>20</v>
      </c>
      <c r="I62">
        <v>0</v>
      </c>
      <c r="J62" t="s">
        <v>38</v>
      </c>
      <c r="K62" t="s">
        <v>36</v>
      </c>
      <c r="L62" t="s">
        <v>92</v>
      </c>
      <c r="M62" t="s">
        <v>128</v>
      </c>
      <c r="N62" t="s">
        <v>198</v>
      </c>
      <c r="O62" t="s">
        <v>63</v>
      </c>
      <c r="P62" t="s">
        <v>24</v>
      </c>
      <c r="Q62" t="s">
        <v>52</v>
      </c>
      <c r="R62" t="s">
        <v>30</v>
      </c>
      <c r="S62" t="s">
        <v>29</v>
      </c>
      <c r="T62" t="s">
        <v>36</v>
      </c>
      <c r="U62">
        <v>22</v>
      </c>
      <c r="V62">
        <v>20</v>
      </c>
      <c r="W62" t="s">
        <v>48</v>
      </c>
    </row>
    <row r="63" spans="1:23" x14ac:dyDescent="0.25">
      <c r="A63">
        <v>62</v>
      </c>
      <c r="B63" t="s">
        <v>49</v>
      </c>
      <c r="C63" t="s">
        <v>57</v>
      </c>
      <c r="D63" s="1">
        <v>37234</v>
      </c>
      <c r="E63">
        <v>187</v>
      </c>
      <c r="F63">
        <v>91</v>
      </c>
      <c r="H63" t="s">
        <v>51</v>
      </c>
      <c r="I63">
        <v>20</v>
      </c>
      <c r="J63" t="s">
        <v>38</v>
      </c>
      <c r="K63" t="s">
        <v>36</v>
      </c>
      <c r="L63" t="s">
        <v>92</v>
      </c>
      <c r="M63" t="s">
        <v>128</v>
      </c>
      <c r="N63" t="s">
        <v>198</v>
      </c>
      <c r="O63" t="s">
        <v>63</v>
      </c>
      <c r="P63" t="s">
        <v>24</v>
      </c>
      <c r="Q63" t="s">
        <v>52</v>
      </c>
      <c r="R63" t="s">
        <v>30</v>
      </c>
      <c r="S63" t="s">
        <v>29</v>
      </c>
      <c r="T63" t="s">
        <v>36</v>
      </c>
      <c r="U63">
        <v>19</v>
      </c>
      <c r="V63">
        <v>26</v>
      </c>
      <c r="W63" t="s">
        <v>60</v>
      </c>
    </row>
    <row r="64" spans="1:23" x14ac:dyDescent="0.25">
      <c r="A64">
        <v>63</v>
      </c>
      <c r="B64" t="s">
        <v>49</v>
      </c>
      <c r="C64" t="s">
        <v>57</v>
      </c>
      <c r="D64" s="1">
        <v>36138</v>
      </c>
      <c r="E64">
        <v>187</v>
      </c>
      <c r="F64">
        <v>91</v>
      </c>
      <c r="H64" t="s">
        <v>51</v>
      </c>
      <c r="I64">
        <v>20</v>
      </c>
      <c r="J64" t="s">
        <v>38</v>
      </c>
      <c r="K64" t="s">
        <v>36</v>
      </c>
      <c r="L64" t="s">
        <v>92</v>
      </c>
      <c r="M64" t="s">
        <v>128</v>
      </c>
      <c r="N64" t="s">
        <v>198</v>
      </c>
      <c r="O64" t="s">
        <v>63</v>
      </c>
      <c r="P64" t="s">
        <v>24</v>
      </c>
      <c r="Q64" t="s">
        <v>52</v>
      </c>
      <c r="R64" t="s">
        <v>30</v>
      </c>
      <c r="S64" t="s">
        <v>29</v>
      </c>
      <c r="T64" t="s">
        <v>37</v>
      </c>
      <c r="U64">
        <v>22</v>
      </c>
      <c r="V64">
        <v>26</v>
      </c>
      <c r="W64" t="s">
        <v>60</v>
      </c>
    </row>
    <row r="65" spans="1:23" x14ac:dyDescent="0.25">
      <c r="A65">
        <v>64</v>
      </c>
      <c r="B65" t="s">
        <v>49</v>
      </c>
      <c r="C65" t="s">
        <v>57</v>
      </c>
      <c r="D65" s="1">
        <v>36138</v>
      </c>
      <c r="E65">
        <v>187</v>
      </c>
      <c r="F65">
        <v>91</v>
      </c>
      <c r="H65" t="s">
        <v>51</v>
      </c>
      <c r="I65">
        <v>20</v>
      </c>
      <c r="J65" t="s">
        <v>38</v>
      </c>
      <c r="K65" t="s">
        <v>36</v>
      </c>
      <c r="L65" t="s">
        <v>199</v>
      </c>
      <c r="M65" t="s">
        <v>176</v>
      </c>
      <c r="N65" t="s">
        <v>198</v>
      </c>
      <c r="O65" t="s">
        <v>63</v>
      </c>
      <c r="P65" t="s">
        <v>24</v>
      </c>
      <c r="Q65" t="s">
        <v>52</v>
      </c>
      <c r="R65" t="s">
        <v>30</v>
      </c>
      <c r="S65" t="s">
        <v>29</v>
      </c>
      <c r="T65" t="s">
        <v>37</v>
      </c>
      <c r="U65">
        <v>22</v>
      </c>
      <c r="V65">
        <v>26</v>
      </c>
      <c r="W65" t="s">
        <v>60</v>
      </c>
    </row>
    <row r="66" spans="1:23" x14ac:dyDescent="0.25">
      <c r="A66">
        <v>65</v>
      </c>
      <c r="B66" t="s">
        <v>49</v>
      </c>
      <c r="C66" t="s">
        <v>50</v>
      </c>
      <c r="D66" s="1">
        <v>36138</v>
      </c>
      <c r="E66">
        <v>187</v>
      </c>
      <c r="F66">
        <v>91</v>
      </c>
      <c r="G66" t="s">
        <v>21</v>
      </c>
      <c r="H66" t="s">
        <v>51</v>
      </c>
      <c r="I66">
        <v>20</v>
      </c>
      <c r="J66" t="s">
        <v>38</v>
      </c>
      <c r="K66" t="s">
        <v>36</v>
      </c>
      <c r="L66" t="s">
        <v>199</v>
      </c>
      <c r="M66" t="s">
        <v>176</v>
      </c>
      <c r="N66" t="s">
        <v>198</v>
      </c>
      <c r="O66" t="s">
        <v>63</v>
      </c>
      <c r="P66" t="s">
        <v>24</v>
      </c>
      <c r="Q66" t="s">
        <v>52</v>
      </c>
      <c r="R66" t="s">
        <v>30</v>
      </c>
      <c r="S66" t="s">
        <v>29</v>
      </c>
      <c r="T66" t="s">
        <v>39</v>
      </c>
      <c r="U66">
        <v>22</v>
      </c>
      <c r="V66">
        <v>26</v>
      </c>
      <c r="W66" t="s">
        <v>60</v>
      </c>
    </row>
    <row r="67" spans="1:23" x14ac:dyDescent="0.25">
      <c r="A67">
        <v>66</v>
      </c>
      <c r="B67" t="s">
        <v>49</v>
      </c>
      <c r="C67" t="s">
        <v>50</v>
      </c>
      <c r="D67" t="s">
        <v>200</v>
      </c>
      <c r="E67">
        <v>187</v>
      </c>
      <c r="F67">
        <v>91</v>
      </c>
      <c r="G67" t="s">
        <v>21</v>
      </c>
      <c r="H67" t="s">
        <v>51</v>
      </c>
      <c r="I67">
        <v>20</v>
      </c>
      <c r="J67" t="s">
        <v>38</v>
      </c>
      <c r="K67" t="s">
        <v>36</v>
      </c>
      <c r="L67" t="s">
        <v>199</v>
      </c>
      <c r="M67" t="s">
        <v>176</v>
      </c>
      <c r="N67" t="s">
        <v>198</v>
      </c>
      <c r="O67" t="s">
        <v>63</v>
      </c>
      <c r="P67" t="s">
        <v>24</v>
      </c>
      <c r="Q67" t="s">
        <v>66</v>
      </c>
      <c r="R67" t="s">
        <v>30</v>
      </c>
      <c r="S67" t="s">
        <v>35</v>
      </c>
      <c r="T67" t="s">
        <v>39</v>
      </c>
      <c r="U67">
        <v>22</v>
      </c>
      <c r="V67">
        <v>26</v>
      </c>
      <c r="W67" t="s">
        <v>60</v>
      </c>
    </row>
    <row r="68" spans="1:23" x14ac:dyDescent="0.25">
      <c r="A68">
        <v>67</v>
      </c>
      <c r="B68" t="s">
        <v>65</v>
      </c>
      <c r="C68" t="s">
        <v>50</v>
      </c>
      <c r="D68" t="s">
        <v>200</v>
      </c>
      <c r="E68">
        <v>187</v>
      </c>
      <c r="F68">
        <v>91</v>
      </c>
      <c r="G68" t="s">
        <v>21</v>
      </c>
      <c r="H68" t="s">
        <v>51</v>
      </c>
      <c r="I68">
        <v>20</v>
      </c>
      <c r="J68" t="s">
        <v>38</v>
      </c>
      <c r="K68" t="s">
        <v>36</v>
      </c>
      <c r="L68" t="s">
        <v>243</v>
      </c>
      <c r="M68" t="s">
        <v>165</v>
      </c>
      <c r="N68" t="s">
        <v>198</v>
      </c>
      <c r="O68" t="s">
        <v>63</v>
      </c>
      <c r="P68" t="s">
        <v>24</v>
      </c>
      <c r="Q68" t="s">
        <v>66</v>
      </c>
      <c r="R68" t="s">
        <v>30</v>
      </c>
      <c r="S68" t="s">
        <v>35</v>
      </c>
      <c r="T68" t="s">
        <v>39</v>
      </c>
      <c r="U68">
        <v>22</v>
      </c>
      <c r="V68">
        <v>26</v>
      </c>
      <c r="W68" t="s">
        <v>60</v>
      </c>
    </row>
    <row r="69" spans="1:23" x14ac:dyDescent="0.25">
      <c r="A69">
        <v>68</v>
      </c>
      <c r="B69" t="s">
        <v>65</v>
      </c>
      <c r="C69" t="s">
        <v>50</v>
      </c>
      <c r="D69" t="s">
        <v>200</v>
      </c>
      <c r="E69">
        <v>187</v>
      </c>
      <c r="F69">
        <v>91</v>
      </c>
      <c r="G69" t="s">
        <v>21</v>
      </c>
      <c r="H69" t="s">
        <v>51</v>
      </c>
      <c r="I69">
        <v>20</v>
      </c>
      <c r="J69" t="s">
        <v>38</v>
      </c>
      <c r="K69" t="s">
        <v>36</v>
      </c>
      <c r="L69" t="s">
        <v>124</v>
      </c>
      <c r="M69" t="s">
        <v>165</v>
      </c>
      <c r="N69" t="s">
        <v>198</v>
      </c>
      <c r="O69" t="s">
        <v>63</v>
      </c>
      <c r="P69" t="s">
        <v>24</v>
      </c>
      <c r="Q69" t="s">
        <v>66</v>
      </c>
      <c r="R69" t="s">
        <v>30</v>
      </c>
      <c r="S69" t="s">
        <v>35</v>
      </c>
      <c r="T69" t="s">
        <v>39</v>
      </c>
      <c r="U69">
        <v>22</v>
      </c>
      <c r="V69">
        <v>26</v>
      </c>
      <c r="W69" t="s">
        <v>60</v>
      </c>
    </row>
    <row r="70" spans="1:23" x14ac:dyDescent="0.25">
      <c r="A70">
        <v>69</v>
      </c>
      <c r="B70" t="s">
        <v>65</v>
      </c>
      <c r="C70" t="s">
        <v>50</v>
      </c>
      <c r="D70" t="s">
        <v>200</v>
      </c>
      <c r="E70">
        <v>187</v>
      </c>
      <c r="F70">
        <v>91</v>
      </c>
      <c r="G70" t="s">
        <v>21</v>
      </c>
      <c r="H70" t="s">
        <v>20</v>
      </c>
      <c r="I70">
        <v>20</v>
      </c>
      <c r="J70" t="s">
        <v>38</v>
      </c>
      <c r="K70" t="s">
        <v>36</v>
      </c>
      <c r="L70" t="s">
        <v>124</v>
      </c>
      <c r="M70" t="s">
        <v>165</v>
      </c>
      <c r="N70" t="s">
        <v>201</v>
      </c>
      <c r="O70" t="s">
        <v>180</v>
      </c>
      <c r="P70" t="s">
        <v>24</v>
      </c>
      <c r="Q70" t="s">
        <v>66</v>
      </c>
      <c r="R70" t="s">
        <v>26</v>
      </c>
      <c r="S70" t="s">
        <v>32</v>
      </c>
      <c r="T70" t="s">
        <v>39</v>
      </c>
      <c r="U70">
        <v>22</v>
      </c>
      <c r="V70">
        <v>26</v>
      </c>
      <c r="W70" t="s">
        <v>60</v>
      </c>
    </row>
    <row r="71" spans="1:23" x14ac:dyDescent="0.25">
      <c r="A71">
        <v>70</v>
      </c>
      <c r="B71" t="s">
        <v>65</v>
      </c>
      <c r="C71" t="s">
        <v>50</v>
      </c>
      <c r="D71" t="s">
        <v>202</v>
      </c>
      <c r="E71">
        <v>187</v>
      </c>
      <c r="F71">
        <v>61</v>
      </c>
      <c r="G71" t="s">
        <v>21</v>
      </c>
      <c r="H71" t="s">
        <v>20</v>
      </c>
      <c r="I71">
        <v>20</v>
      </c>
      <c r="J71" t="s">
        <v>38</v>
      </c>
      <c r="K71" t="s">
        <v>36</v>
      </c>
      <c r="L71" t="s">
        <v>124</v>
      </c>
      <c r="M71" t="s">
        <v>165</v>
      </c>
      <c r="N71" t="s">
        <v>201</v>
      </c>
      <c r="O71" t="s">
        <v>73</v>
      </c>
      <c r="P71" t="s">
        <v>24</v>
      </c>
      <c r="Q71" t="s">
        <v>66</v>
      </c>
      <c r="R71" t="s">
        <v>26</v>
      </c>
      <c r="S71" t="s">
        <v>35</v>
      </c>
      <c r="T71" t="s">
        <v>39</v>
      </c>
      <c r="U71">
        <v>69</v>
      </c>
      <c r="V71">
        <v>17</v>
      </c>
      <c r="W71" t="s">
        <v>79</v>
      </c>
    </row>
    <row r="72" spans="1:23" x14ac:dyDescent="0.25">
      <c r="A72">
        <v>71</v>
      </c>
      <c r="B72" t="s">
        <v>65</v>
      </c>
      <c r="C72" t="s">
        <v>50</v>
      </c>
      <c r="D72" t="s">
        <v>202</v>
      </c>
      <c r="E72">
        <v>187</v>
      </c>
      <c r="F72">
        <v>61</v>
      </c>
      <c r="G72" t="s">
        <v>21</v>
      </c>
      <c r="H72" t="s">
        <v>20</v>
      </c>
      <c r="I72">
        <v>20</v>
      </c>
      <c r="J72" t="s">
        <v>38</v>
      </c>
      <c r="K72" t="s">
        <v>36</v>
      </c>
      <c r="L72" t="s">
        <v>124</v>
      </c>
      <c r="M72" t="s">
        <v>165</v>
      </c>
      <c r="N72" t="s">
        <v>201</v>
      </c>
      <c r="O72" t="s">
        <v>73</v>
      </c>
      <c r="P72" t="s">
        <v>24</v>
      </c>
      <c r="Q72" t="s">
        <v>66</v>
      </c>
      <c r="R72" t="s">
        <v>26</v>
      </c>
      <c r="S72" t="s">
        <v>35</v>
      </c>
      <c r="T72" t="s">
        <v>39</v>
      </c>
      <c r="U72">
        <v>69</v>
      </c>
      <c r="V72">
        <v>17</v>
      </c>
      <c r="W72" t="s">
        <v>79</v>
      </c>
    </row>
    <row r="73" spans="1:23" x14ac:dyDescent="0.25">
      <c r="A73">
        <v>72</v>
      </c>
      <c r="B73" t="s">
        <v>65</v>
      </c>
      <c r="C73" t="s">
        <v>50</v>
      </c>
      <c r="D73" t="s">
        <v>203</v>
      </c>
      <c r="E73">
        <v>187</v>
      </c>
      <c r="F73">
        <v>61</v>
      </c>
      <c r="G73" t="s">
        <v>20</v>
      </c>
      <c r="H73" t="s">
        <v>20</v>
      </c>
      <c r="I73">
        <v>20</v>
      </c>
      <c r="J73" t="s">
        <v>38</v>
      </c>
      <c r="K73" t="s">
        <v>36</v>
      </c>
      <c r="L73" t="s">
        <v>124</v>
      </c>
      <c r="M73" t="s">
        <v>204</v>
      </c>
      <c r="N73" t="s">
        <v>201</v>
      </c>
      <c r="O73" t="s">
        <v>73</v>
      </c>
      <c r="P73" t="s">
        <v>24</v>
      </c>
      <c r="Q73" t="s">
        <v>66</v>
      </c>
      <c r="R73" t="s">
        <v>30</v>
      </c>
      <c r="S73" t="s">
        <v>35</v>
      </c>
      <c r="T73" t="s">
        <v>37</v>
      </c>
      <c r="U73">
        <v>34</v>
      </c>
      <c r="V73">
        <v>17</v>
      </c>
      <c r="W73" t="s">
        <v>79</v>
      </c>
    </row>
    <row r="74" spans="1:23" x14ac:dyDescent="0.25">
      <c r="A74">
        <v>73</v>
      </c>
      <c r="B74" t="s">
        <v>65</v>
      </c>
      <c r="C74" t="s">
        <v>50</v>
      </c>
      <c r="D74" t="s">
        <v>203</v>
      </c>
      <c r="E74">
        <v>195</v>
      </c>
      <c r="F74">
        <v>61</v>
      </c>
      <c r="G74" t="s">
        <v>20</v>
      </c>
      <c r="H74" t="s">
        <v>20</v>
      </c>
      <c r="I74">
        <v>26</v>
      </c>
      <c r="J74" t="s">
        <v>36</v>
      </c>
      <c r="K74" t="s">
        <v>36</v>
      </c>
      <c r="L74" t="s">
        <v>124</v>
      </c>
      <c r="M74" t="s">
        <v>204</v>
      </c>
      <c r="N74" t="s">
        <v>201</v>
      </c>
      <c r="O74" t="s">
        <v>180</v>
      </c>
      <c r="P74" t="s">
        <v>24</v>
      </c>
      <c r="Q74" t="s">
        <v>66</v>
      </c>
      <c r="R74" t="s">
        <v>30</v>
      </c>
      <c r="S74" t="s">
        <v>35</v>
      </c>
      <c r="T74" t="s">
        <v>37</v>
      </c>
      <c r="U74">
        <v>34</v>
      </c>
      <c r="V74">
        <v>16</v>
      </c>
      <c r="W74" t="s">
        <v>79</v>
      </c>
    </row>
    <row r="75" spans="1:23" x14ac:dyDescent="0.25">
      <c r="A75">
        <v>74</v>
      </c>
      <c r="B75" t="s">
        <v>49</v>
      </c>
      <c r="C75" t="s">
        <v>57</v>
      </c>
      <c r="D75" t="s">
        <v>205</v>
      </c>
      <c r="E75">
        <v>195</v>
      </c>
      <c r="F75">
        <v>87</v>
      </c>
      <c r="H75" t="s">
        <v>20</v>
      </c>
      <c r="I75">
        <v>26</v>
      </c>
      <c r="J75" t="s">
        <v>38</v>
      </c>
      <c r="K75" t="s">
        <v>36</v>
      </c>
      <c r="L75" t="s">
        <v>206</v>
      </c>
      <c r="M75" t="s">
        <v>204</v>
      </c>
      <c r="N75" t="s">
        <v>207</v>
      </c>
      <c r="O75" t="s">
        <v>208</v>
      </c>
      <c r="P75" t="s">
        <v>24</v>
      </c>
      <c r="Q75" t="s">
        <v>52</v>
      </c>
      <c r="R75" t="s">
        <v>30</v>
      </c>
      <c r="S75" t="s">
        <v>31</v>
      </c>
      <c r="T75" t="s">
        <v>37</v>
      </c>
      <c r="U75">
        <v>27</v>
      </c>
      <c r="V75">
        <v>23</v>
      </c>
      <c r="W75" t="s">
        <v>48</v>
      </c>
    </row>
    <row r="76" spans="1:23" x14ac:dyDescent="0.25">
      <c r="A76">
        <v>75</v>
      </c>
      <c r="B76" t="s">
        <v>49</v>
      </c>
      <c r="C76" t="s">
        <v>50</v>
      </c>
      <c r="D76" t="s">
        <v>209</v>
      </c>
      <c r="E76">
        <v>195</v>
      </c>
      <c r="F76">
        <v>87</v>
      </c>
      <c r="G76" t="s">
        <v>21</v>
      </c>
      <c r="H76" t="s">
        <v>20</v>
      </c>
      <c r="I76">
        <v>26</v>
      </c>
      <c r="J76" t="s">
        <v>38</v>
      </c>
      <c r="K76" t="s">
        <v>36</v>
      </c>
      <c r="L76" t="s">
        <v>206</v>
      </c>
      <c r="M76" t="s">
        <v>204</v>
      </c>
      <c r="N76" t="s">
        <v>207</v>
      </c>
      <c r="O76" t="s">
        <v>208</v>
      </c>
      <c r="P76" t="s">
        <v>24</v>
      </c>
      <c r="Q76" t="s">
        <v>52</v>
      </c>
      <c r="R76" t="s">
        <v>30</v>
      </c>
      <c r="S76" t="s">
        <v>29</v>
      </c>
      <c r="T76" t="s">
        <v>37</v>
      </c>
      <c r="U76">
        <v>30</v>
      </c>
      <c r="V76">
        <v>23</v>
      </c>
      <c r="W76" t="s">
        <v>48</v>
      </c>
    </row>
    <row r="77" spans="1:23" x14ac:dyDescent="0.25">
      <c r="A77">
        <v>76</v>
      </c>
      <c r="B77" t="s">
        <v>49</v>
      </c>
      <c r="C77" t="s">
        <v>50</v>
      </c>
      <c r="D77" t="s">
        <v>209</v>
      </c>
      <c r="E77">
        <v>195</v>
      </c>
      <c r="F77">
        <v>87</v>
      </c>
      <c r="G77" t="s">
        <v>21</v>
      </c>
      <c r="H77" t="s">
        <v>20</v>
      </c>
      <c r="I77">
        <v>26</v>
      </c>
      <c r="J77" t="s">
        <v>38</v>
      </c>
      <c r="K77" t="s">
        <v>36</v>
      </c>
      <c r="L77" t="s">
        <v>138</v>
      </c>
      <c r="M77" t="s">
        <v>165</v>
      </c>
      <c r="N77" t="s">
        <v>207</v>
      </c>
      <c r="O77" t="s">
        <v>208</v>
      </c>
      <c r="P77" t="s">
        <v>25</v>
      </c>
      <c r="Q77" t="s">
        <v>52</v>
      </c>
      <c r="R77" t="s">
        <v>26</v>
      </c>
      <c r="S77" t="s">
        <v>32</v>
      </c>
      <c r="T77" t="s">
        <v>39</v>
      </c>
      <c r="U77">
        <v>30</v>
      </c>
      <c r="V77">
        <v>23</v>
      </c>
      <c r="W77" t="s">
        <v>48</v>
      </c>
    </row>
    <row r="78" spans="1:23" x14ac:dyDescent="0.25">
      <c r="A78">
        <v>77</v>
      </c>
      <c r="B78" t="s">
        <v>49</v>
      </c>
      <c r="C78" t="s">
        <v>50</v>
      </c>
      <c r="D78" t="s">
        <v>209</v>
      </c>
      <c r="E78">
        <v>156</v>
      </c>
      <c r="F78">
        <v>87</v>
      </c>
      <c r="G78" t="s">
        <v>21</v>
      </c>
      <c r="H78" t="s">
        <v>20</v>
      </c>
      <c r="I78">
        <v>0</v>
      </c>
      <c r="J78" t="s">
        <v>38</v>
      </c>
      <c r="K78" t="s">
        <v>36</v>
      </c>
      <c r="L78" t="s">
        <v>210</v>
      </c>
      <c r="M78" t="s">
        <v>165</v>
      </c>
      <c r="N78" t="s">
        <v>211</v>
      </c>
      <c r="O78" t="s">
        <v>73</v>
      </c>
      <c r="P78" t="s">
        <v>23</v>
      </c>
      <c r="Q78" t="s">
        <v>52</v>
      </c>
      <c r="R78" t="s">
        <v>30</v>
      </c>
      <c r="S78" t="s">
        <v>29</v>
      </c>
      <c r="T78" t="s">
        <v>37</v>
      </c>
      <c r="U78">
        <v>30</v>
      </c>
      <c r="V78">
        <v>36</v>
      </c>
      <c r="W78" t="s">
        <v>99</v>
      </c>
    </row>
    <row r="79" spans="1:23" x14ac:dyDescent="0.25">
      <c r="A79">
        <v>78</v>
      </c>
      <c r="B79" t="s">
        <v>49</v>
      </c>
      <c r="C79" t="s">
        <v>50</v>
      </c>
      <c r="D79" t="s">
        <v>209</v>
      </c>
      <c r="E79">
        <v>156</v>
      </c>
      <c r="F79">
        <v>80</v>
      </c>
      <c r="G79" t="s">
        <v>20</v>
      </c>
      <c r="H79" t="s">
        <v>20</v>
      </c>
      <c r="I79">
        <v>0</v>
      </c>
      <c r="J79" t="s">
        <v>38</v>
      </c>
      <c r="K79" t="s">
        <v>36</v>
      </c>
      <c r="L79" t="s">
        <v>210</v>
      </c>
      <c r="M79" t="s">
        <v>130</v>
      </c>
      <c r="N79" t="s">
        <v>211</v>
      </c>
      <c r="O79" t="s">
        <v>73</v>
      </c>
      <c r="P79" t="s">
        <v>23</v>
      </c>
      <c r="Q79" t="s">
        <v>52</v>
      </c>
      <c r="R79" t="s">
        <v>30</v>
      </c>
      <c r="S79" t="s">
        <v>29</v>
      </c>
      <c r="T79" t="s">
        <v>36</v>
      </c>
      <c r="U79">
        <v>30</v>
      </c>
      <c r="V79">
        <v>33</v>
      </c>
      <c r="W79" t="s">
        <v>74</v>
      </c>
    </row>
    <row r="80" spans="1:23" x14ac:dyDescent="0.25">
      <c r="A80">
        <v>79</v>
      </c>
      <c r="B80" t="s">
        <v>65</v>
      </c>
      <c r="C80" t="s">
        <v>50</v>
      </c>
      <c r="D80" t="s">
        <v>209</v>
      </c>
      <c r="E80">
        <v>156</v>
      </c>
      <c r="F80">
        <v>80</v>
      </c>
      <c r="G80" t="s">
        <v>21</v>
      </c>
      <c r="H80" t="s">
        <v>20</v>
      </c>
      <c r="I80">
        <v>30</v>
      </c>
      <c r="J80" t="s">
        <v>38</v>
      </c>
      <c r="K80" t="s">
        <v>36</v>
      </c>
      <c r="L80" t="s">
        <v>115</v>
      </c>
      <c r="M80" t="s">
        <v>176</v>
      </c>
      <c r="N80" s="1">
        <v>43477</v>
      </c>
      <c r="O80" s="1">
        <v>43628</v>
      </c>
      <c r="P80" t="s">
        <v>23</v>
      </c>
      <c r="Q80" t="s">
        <v>52</v>
      </c>
      <c r="R80" t="s">
        <v>30</v>
      </c>
      <c r="S80" t="s">
        <v>29</v>
      </c>
      <c r="T80" t="s">
        <v>36</v>
      </c>
      <c r="U80">
        <v>30</v>
      </c>
      <c r="V80">
        <v>33</v>
      </c>
      <c r="W80" t="s">
        <v>74</v>
      </c>
    </row>
    <row r="81" spans="1:23" x14ac:dyDescent="0.25">
      <c r="A81">
        <v>80</v>
      </c>
      <c r="B81" t="s">
        <v>49</v>
      </c>
      <c r="C81" t="s">
        <v>57</v>
      </c>
      <c r="D81" t="s">
        <v>209</v>
      </c>
      <c r="E81">
        <v>156</v>
      </c>
      <c r="F81">
        <v>80</v>
      </c>
      <c r="H81" t="s">
        <v>51</v>
      </c>
      <c r="I81">
        <v>30</v>
      </c>
      <c r="J81" t="s">
        <v>38</v>
      </c>
      <c r="K81" t="s">
        <v>36</v>
      </c>
      <c r="L81" t="s">
        <v>53</v>
      </c>
      <c r="M81" t="s">
        <v>59</v>
      </c>
      <c r="N81" s="1">
        <v>43477</v>
      </c>
      <c r="O81" s="1">
        <v>43628</v>
      </c>
      <c r="P81" t="s">
        <v>24</v>
      </c>
      <c r="Q81" t="s">
        <v>52</v>
      </c>
      <c r="R81" t="s">
        <v>27</v>
      </c>
      <c r="S81" t="s">
        <v>31</v>
      </c>
      <c r="T81" t="s">
        <v>39</v>
      </c>
      <c r="U81">
        <v>30</v>
      </c>
      <c r="V81">
        <v>33</v>
      </c>
      <c r="W81" t="s">
        <v>74</v>
      </c>
    </row>
    <row r="82" spans="1:23" x14ac:dyDescent="0.25">
      <c r="A82">
        <v>81</v>
      </c>
      <c r="B82" t="s">
        <v>49</v>
      </c>
      <c r="C82" t="s">
        <v>57</v>
      </c>
      <c r="D82" t="s">
        <v>212</v>
      </c>
      <c r="E82">
        <v>156</v>
      </c>
      <c r="F82">
        <v>56</v>
      </c>
      <c r="H82" t="s">
        <v>51</v>
      </c>
      <c r="I82">
        <v>33</v>
      </c>
      <c r="J82" t="s">
        <v>38</v>
      </c>
      <c r="K82" t="s">
        <v>36</v>
      </c>
      <c r="L82" t="s">
        <v>53</v>
      </c>
      <c r="M82" t="s">
        <v>59</v>
      </c>
      <c r="N82" s="1">
        <v>43477</v>
      </c>
      <c r="O82" s="1">
        <v>43628</v>
      </c>
      <c r="P82" t="s">
        <v>23</v>
      </c>
      <c r="Q82" t="s">
        <v>52</v>
      </c>
      <c r="R82" t="s">
        <v>27</v>
      </c>
      <c r="S82" t="s">
        <v>31</v>
      </c>
      <c r="T82" t="s">
        <v>39</v>
      </c>
      <c r="U82">
        <v>15</v>
      </c>
      <c r="V82">
        <v>23</v>
      </c>
      <c r="W82" t="s">
        <v>48</v>
      </c>
    </row>
    <row r="83" spans="1:23" x14ac:dyDescent="0.25">
      <c r="A83">
        <v>82</v>
      </c>
      <c r="B83" t="s">
        <v>49</v>
      </c>
      <c r="C83" t="s">
        <v>57</v>
      </c>
      <c r="D83" t="s">
        <v>212</v>
      </c>
      <c r="E83">
        <v>176</v>
      </c>
      <c r="F83">
        <v>40</v>
      </c>
      <c r="H83" t="s">
        <v>51</v>
      </c>
      <c r="I83">
        <v>33</v>
      </c>
      <c r="J83" t="s">
        <v>38</v>
      </c>
      <c r="K83" t="s">
        <v>36</v>
      </c>
      <c r="L83" t="s">
        <v>53</v>
      </c>
      <c r="M83" t="s">
        <v>59</v>
      </c>
      <c r="N83" s="1">
        <v>43477</v>
      </c>
      <c r="O83" s="1">
        <v>43628</v>
      </c>
      <c r="P83" t="s">
        <v>25</v>
      </c>
      <c r="Q83" t="s">
        <v>52</v>
      </c>
      <c r="R83" t="s">
        <v>27</v>
      </c>
      <c r="S83" t="s">
        <v>33</v>
      </c>
      <c r="T83" t="s">
        <v>39</v>
      </c>
      <c r="U83">
        <v>15</v>
      </c>
      <c r="V83">
        <v>13</v>
      </c>
      <c r="W83" t="s">
        <v>241</v>
      </c>
    </row>
    <row r="84" spans="1:23" x14ac:dyDescent="0.25">
      <c r="A84">
        <v>83</v>
      </c>
      <c r="B84" t="s">
        <v>49</v>
      </c>
      <c r="C84" t="s">
        <v>57</v>
      </c>
      <c r="D84" t="s">
        <v>212</v>
      </c>
      <c r="E84">
        <v>195</v>
      </c>
      <c r="F84">
        <v>51</v>
      </c>
      <c r="H84" t="s">
        <v>51</v>
      </c>
      <c r="I84">
        <v>3</v>
      </c>
      <c r="J84" t="s">
        <v>38</v>
      </c>
      <c r="K84" t="s">
        <v>36</v>
      </c>
      <c r="L84" t="s">
        <v>124</v>
      </c>
      <c r="M84" t="s">
        <v>59</v>
      </c>
      <c r="N84" s="1">
        <v>43112</v>
      </c>
      <c r="O84" s="1">
        <v>43143</v>
      </c>
      <c r="P84" t="s">
        <v>25</v>
      </c>
      <c r="Q84" t="s">
        <v>52</v>
      </c>
      <c r="R84" t="s">
        <v>27</v>
      </c>
      <c r="S84" t="s">
        <v>33</v>
      </c>
      <c r="T84" t="s">
        <v>39</v>
      </c>
      <c r="U84">
        <v>15</v>
      </c>
      <c r="V84">
        <v>13</v>
      </c>
      <c r="W84" t="s">
        <v>241</v>
      </c>
    </row>
    <row r="85" spans="1:23" x14ac:dyDescent="0.25">
      <c r="A85">
        <v>84</v>
      </c>
      <c r="B85" t="s">
        <v>65</v>
      </c>
      <c r="C85" t="s">
        <v>50</v>
      </c>
      <c r="D85" t="s">
        <v>212</v>
      </c>
      <c r="E85">
        <v>195</v>
      </c>
      <c r="F85">
        <v>51</v>
      </c>
      <c r="G85" t="s">
        <v>21</v>
      </c>
      <c r="H85" t="s">
        <v>20</v>
      </c>
      <c r="I85">
        <v>23</v>
      </c>
      <c r="J85" t="s">
        <v>38</v>
      </c>
      <c r="K85" t="s">
        <v>36</v>
      </c>
      <c r="L85" t="s">
        <v>124</v>
      </c>
      <c r="M85" t="s">
        <v>59</v>
      </c>
      <c r="N85" s="1">
        <v>43112</v>
      </c>
      <c r="O85" s="1">
        <v>43477</v>
      </c>
      <c r="P85" t="s">
        <v>24</v>
      </c>
      <c r="Q85" t="s">
        <v>52</v>
      </c>
      <c r="R85" t="s">
        <v>27</v>
      </c>
      <c r="S85" t="s">
        <v>33</v>
      </c>
      <c r="T85" t="s">
        <v>37</v>
      </c>
      <c r="U85">
        <v>15</v>
      </c>
      <c r="V85">
        <v>13</v>
      </c>
      <c r="W85" t="s">
        <v>241</v>
      </c>
    </row>
    <row r="86" spans="1:23" x14ac:dyDescent="0.25">
      <c r="A86">
        <v>85</v>
      </c>
      <c r="B86" t="s">
        <v>49</v>
      </c>
      <c r="C86" t="s">
        <v>57</v>
      </c>
      <c r="D86" t="s">
        <v>213</v>
      </c>
      <c r="E86">
        <v>185</v>
      </c>
      <c r="F86">
        <v>71</v>
      </c>
      <c r="H86" t="s">
        <v>20</v>
      </c>
      <c r="I86">
        <v>2</v>
      </c>
      <c r="J86" t="s">
        <v>38</v>
      </c>
      <c r="K86" t="s">
        <v>36</v>
      </c>
      <c r="L86" t="s">
        <v>86</v>
      </c>
      <c r="M86" t="s">
        <v>77</v>
      </c>
      <c r="N86" s="1">
        <v>43477</v>
      </c>
      <c r="O86" s="1">
        <v>43477</v>
      </c>
      <c r="P86" t="s">
        <v>24</v>
      </c>
      <c r="Q86" t="s">
        <v>52</v>
      </c>
      <c r="R86" t="s">
        <v>28</v>
      </c>
      <c r="S86" t="s">
        <v>29</v>
      </c>
      <c r="T86" t="s">
        <v>39</v>
      </c>
      <c r="U86">
        <v>5</v>
      </c>
      <c r="V86">
        <v>21</v>
      </c>
      <c r="W86" t="s">
        <v>48</v>
      </c>
    </row>
    <row r="87" spans="1:23" x14ac:dyDescent="0.25">
      <c r="A87">
        <v>86</v>
      </c>
      <c r="B87" t="s">
        <v>65</v>
      </c>
      <c r="C87" t="s">
        <v>57</v>
      </c>
      <c r="D87" t="s">
        <v>214</v>
      </c>
      <c r="E87">
        <v>155</v>
      </c>
      <c r="F87">
        <v>71</v>
      </c>
      <c r="H87" t="s">
        <v>20</v>
      </c>
      <c r="I87">
        <v>26</v>
      </c>
      <c r="J87" t="s">
        <v>36</v>
      </c>
      <c r="K87" t="s">
        <v>36</v>
      </c>
      <c r="L87" t="s">
        <v>86</v>
      </c>
      <c r="M87" t="s">
        <v>77</v>
      </c>
      <c r="N87" s="1">
        <v>43781</v>
      </c>
      <c r="O87" t="s">
        <v>215</v>
      </c>
      <c r="P87" t="s">
        <v>24</v>
      </c>
      <c r="Q87" t="s">
        <v>52</v>
      </c>
      <c r="R87" t="s">
        <v>28</v>
      </c>
      <c r="S87" t="s">
        <v>29</v>
      </c>
      <c r="T87" t="s">
        <v>39</v>
      </c>
      <c r="U87">
        <v>20</v>
      </c>
      <c r="V87">
        <v>30</v>
      </c>
      <c r="W87" t="s">
        <v>60</v>
      </c>
    </row>
    <row r="88" spans="1:23" x14ac:dyDescent="0.25">
      <c r="A88">
        <v>87</v>
      </c>
      <c r="B88" t="s">
        <v>49</v>
      </c>
      <c r="C88" t="s">
        <v>50</v>
      </c>
      <c r="D88" t="s">
        <v>216</v>
      </c>
      <c r="E88">
        <v>155</v>
      </c>
      <c r="F88">
        <v>71</v>
      </c>
      <c r="G88" t="s">
        <v>21</v>
      </c>
      <c r="H88" t="s">
        <v>20</v>
      </c>
      <c r="I88">
        <v>6</v>
      </c>
      <c r="J88" t="s">
        <v>38</v>
      </c>
      <c r="K88" t="s">
        <v>36</v>
      </c>
      <c r="L88" t="s">
        <v>174</v>
      </c>
      <c r="M88" t="s">
        <v>217</v>
      </c>
      <c r="N88" s="1">
        <v>43781</v>
      </c>
      <c r="O88" t="s">
        <v>218</v>
      </c>
      <c r="P88" t="s">
        <v>24</v>
      </c>
      <c r="Q88" t="s">
        <v>52</v>
      </c>
      <c r="R88" t="s">
        <v>27</v>
      </c>
      <c r="S88" t="s">
        <v>29</v>
      </c>
      <c r="T88" t="s">
        <v>37</v>
      </c>
      <c r="U88">
        <v>25</v>
      </c>
      <c r="V88">
        <v>30</v>
      </c>
      <c r="W88" t="s">
        <v>60</v>
      </c>
    </row>
    <row r="89" spans="1:23" x14ac:dyDescent="0.25">
      <c r="A89">
        <v>88</v>
      </c>
      <c r="B89" t="s">
        <v>49</v>
      </c>
      <c r="C89" t="s">
        <v>50</v>
      </c>
      <c r="D89" t="s">
        <v>202</v>
      </c>
      <c r="E89">
        <v>165</v>
      </c>
      <c r="F89">
        <v>71</v>
      </c>
      <c r="G89" t="s">
        <v>21</v>
      </c>
      <c r="H89" t="s">
        <v>20</v>
      </c>
      <c r="I89">
        <v>6</v>
      </c>
      <c r="J89" t="s">
        <v>38</v>
      </c>
      <c r="K89" t="s">
        <v>36</v>
      </c>
      <c r="L89" t="s">
        <v>58</v>
      </c>
      <c r="M89" t="s">
        <v>219</v>
      </c>
      <c r="N89" s="1">
        <v>43781</v>
      </c>
      <c r="O89" t="s">
        <v>220</v>
      </c>
      <c r="P89" t="s">
        <v>25</v>
      </c>
      <c r="Q89" t="s">
        <v>52</v>
      </c>
      <c r="R89" t="s">
        <v>26</v>
      </c>
      <c r="S89" t="s">
        <v>32</v>
      </c>
      <c r="T89" t="s">
        <v>37</v>
      </c>
      <c r="U89">
        <v>69</v>
      </c>
      <c r="V89">
        <v>26</v>
      </c>
      <c r="W89" t="s">
        <v>60</v>
      </c>
    </row>
    <row r="90" spans="1:23" x14ac:dyDescent="0.25">
      <c r="A90">
        <v>89</v>
      </c>
      <c r="B90" t="s">
        <v>49</v>
      </c>
      <c r="C90" t="s">
        <v>57</v>
      </c>
      <c r="D90" t="s">
        <v>221</v>
      </c>
      <c r="E90">
        <v>165</v>
      </c>
      <c r="F90">
        <v>81</v>
      </c>
      <c r="H90" t="s">
        <v>20</v>
      </c>
      <c r="I90">
        <v>16</v>
      </c>
      <c r="J90" t="s">
        <v>36</v>
      </c>
      <c r="K90" t="s">
        <v>36</v>
      </c>
      <c r="L90" t="s">
        <v>58</v>
      </c>
      <c r="M90" t="s">
        <v>103</v>
      </c>
      <c r="N90" s="1">
        <v>43781</v>
      </c>
      <c r="O90" t="s">
        <v>220</v>
      </c>
      <c r="P90" t="s">
        <v>23</v>
      </c>
      <c r="Q90" t="s">
        <v>52</v>
      </c>
      <c r="R90" t="s">
        <v>28</v>
      </c>
      <c r="S90" t="s">
        <v>29</v>
      </c>
      <c r="T90" t="s">
        <v>39</v>
      </c>
      <c r="U90">
        <v>39</v>
      </c>
      <c r="V90">
        <v>30</v>
      </c>
      <c r="W90" t="s">
        <v>60</v>
      </c>
    </row>
    <row r="91" spans="1:23" x14ac:dyDescent="0.25">
      <c r="A91">
        <v>90</v>
      </c>
      <c r="B91" t="s">
        <v>65</v>
      </c>
      <c r="C91" t="s">
        <v>57</v>
      </c>
      <c r="D91" t="s">
        <v>222</v>
      </c>
      <c r="E91">
        <v>175</v>
      </c>
      <c r="F91">
        <v>91</v>
      </c>
      <c r="H91" t="s">
        <v>20</v>
      </c>
      <c r="I91">
        <v>6</v>
      </c>
      <c r="J91" t="s">
        <v>36</v>
      </c>
      <c r="K91" t="s">
        <v>36</v>
      </c>
      <c r="L91" t="s">
        <v>58</v>
      </c>
      <c r="M91" t="s">
        <v>130</v>
      </c>
      <c r="N91" s="1">
        <v>43781</v>
      </c>
      <c r="O91" t="s">
        <v>220</v>
      </c>
      <c r="P91" t="s">
        <v>24</v>
      </c>
      <c r="Q91" t="s">
        <v>52</v>
      </c>
      <c r="R91" t="s">
        <v>28</v>
      </c>
      <c r="S91" t="s">
        <v>29</v>
      </c>
      <c r="T91" t="s">
        <v>36</v>
      </c>
      <c r="U91">
        <v>29</v>
      </c>
      <c r="V91">
        <v>30</v>
      </c>
      <c r="W91" t="s">
        <v>60</v>
      </c>
    </row>
    <row r="92" spans="1:23" x14ac:dyDescent="0.25">
      <c r="A92">
        <v>91</v>
      </c>
      <c r="B92" t="s">
        <v>65</v>
      </c>
      <c r="C92" t="s">
        <v>57</v>
      </c>
      <c r="D92" t="s">
        <v>222</v>
      </c>
      <c r="E92">
        <v>160</v>
      </c>
      <c r="F92">
        <v>91</v>
      </c>
      <c r="H92" t="s">
        <v>20</v>
      </c>
      <c r="I92">
        <v>0</v>
      </c>
      <c r="J92" t="s">
        <v>38</v>
      </c>
      <c r="K92" t="s">
        <v>36</v>
      </c>
      <c r="L92" t="s">
        <v>102</v>
      </c>
      <c r="M92" t="s">
        <v>223</v>
      </c>
      <c r="N92" s="1">
        <v>43781</v>
      </c>
      <c r="O92" t="s">
        <v>220</v>
      </c>
      <c r="P92" t="s">
        <v>25</v>
      </c>
      <c r="Q92" t="s">
        <v>66</v>
      </c>
      <c r="R92" t="s">
        <v>26</v>
      </c>
      <c r="S92" t="s">
        <v>33</v>
      </c>
      <c r="T92" t="s">
        <v>36</v>
      </c>
      <c r="U92">
        <v>29</v>
      </c>
      <c r="V92">
        <v>36</v>
      </c>
      <c r="W92" t="s">
        <v>99</v>
      </c>
    </row>
    <row r="93" spans="1:23" x14ac:dyDescent="0.25">
      <c r="A93">
        <v>92</v>
      </c>
      <c r="B93" t="s">
        <v>49</v>
      </c>
      <c r="C93" t="s">
        <v>57</v>
      </c>
      <c r="D93" t="s">
        <v>224</v>
      </c>
      <c r="E93">
        <v>173</v>
      </c>
      <c r="F93">
        <v>72</v>
      </c>
      <c r="H93" t="s">
        <v>20</v>
      </c>
      <c r="I93">
        <v>0</v>
      </c>
      <c r="J93" t="s">
        <v>38</v>
      </c>
      <c r="K93" t="s">
        <v>36</v>
      </c>
      <c r="L93" t="s">
        <v>102</v>
      </c>
      <c r="M93" t="s">
        <v>223</v>
      </c>
      <c r="N93" s="1">
        <v>43778</v>
      </c>
      <c r="O93" t="s">
        <v>225</v>
      </c>
      <c r="P93" t="s">
        <v>25</v>
      </c>
      <c r="Q93" t="s">
        <v>66</v>
      </c>
      <c r="R93" t="s">
        <v>27</v>
      </c>
      <c r="S93" t="s">
        <v>33</v>
      </c>
      <c r="T93" t="s">
        <v>37</v>
      </c>
      <c r="U93">
        <v>71</v>
      </c>
      <c r="V93">
        <v>24</v>
      </c>
      <c r="W93" t="s">
        <v>48</v>
      </c>
    </row>
    <row r="94" spans="1:23" x14ac:dyDescent="0.25">
      <c r="A94">
        <v>93</v>
      </c>
      <c r="B94" t="s">
        <v>65</v>
      </c>
      <c r="C94" t="s">
        <v>50</v>
      </c>
      <c r="D94" s="1">
        <v>34464</v>
      </c>
      <c r="E94">
        <v>187</v>
      </c>
      <c r="F94">
        <v>59</v>
      </c>
      <c r="G94" t="s">
        <v>21</v>
      </c>
      <c r="H94" t="s">
        <v>51</v>
      </c>
      <c r="I94">
        <v>18</v>
      </c>
      <c r="J94" t="s">
        <v>38</v>
      </c>
      <c r="K94" t="s">
        <v>36</v>
      </c>
      <c r="L94" t="s">
        <v>160</v>
      </c>
      <c r="M94" t="s">
        <v>226</v>
      </c>
      <c r="N94" t="s">
        <v>227</v>
      </c>
      <c r="O94" t="s">
        <v>117</v>
      </c>
      <c r="P94" t="s">
        <v>24</v>
      </c>
      <c r="Q94" t="s">
        <v>52</v>
      </c>
      <c r="R94" t="s">
        <v>28</v>
      </c>
      <c r="S94" t="s">
        <v>35</v>
      </c>
      <c r="T94" t="s">
        <v>39</v>
      </c>
      <c r="U94">
        <v>26</v>
      </c>
      <c r="V94">
        <v>17</v>
      </c>
      <c r="W94" t="s">
        <v>79</v>
      </c>
    </row>
    <row r="95" spans="1:23" x14ac:dyDescent="0.25">
      <c r="A95">
        <v>94</v>
      </c>
      <c r="B95" t="s">
        <v>49</v>
      </c>
      <c r="C95" t="s">
        <v>50</v>
      </c>
      <c r="D95" s="1">
        <v>30691</v>
      </c>
      <c r="E95">
        <v>180</v>
      </c>
      <c r="F95">
        <v>91</v>
      </c>
      <c r="G95" t="s">
        <v>21</v>
      </c>
      <c r="H95" t="s">
        <v>51</v>
      </c>
      <c r="I95">
        <v>8</v>
      </c>
      <c r="J95" t="s">
        <v>38</v>
      </c>
      <c r="K95" t="s">
        <v>36</v>
      </c>
      <c r="L95" t="s">
        <v>160</v>
      </c>
      <c r="M95" t="s">
        <v>226</v>
      </c>
      <c r="N95" s="1">
        <v>43742</v>
      </c>
      <c r="O95" t="s">
        <v>228</v>
      </c>
      <c r="P95" t="s">
        <v>25</v>
      </c>
      <c r="Q95" t="s">
        <v>66</v>
      </c>
      <c r="R95" t="s">
        <v>27</v>
      </c>
      <c r="S95" t="s">
        <v>33</v>
      </c>
      <c r="T95" t="s">
        <v>39</v>
      </c>
      <c r="U95">
        <v>36</v>
      </c>
      <c r="V95">
        <v>28</v>
      </c>
      <c r="W95" t="s">
        <v>60</v>
      </c>
    </row>
    <row r="96" spans="1:23" x14ac:dyDescent="0.25">
      <c r="A96">
        <v>95</v>
      </c>
      <c r="B96" t="s">
        <v>49</v>
      </c>
      <c r="C96" t="s">
        <v>50</v>
      </c>
      <c r="D96" s="1">
        <v>36351</v>
      </c>
      <c r="E96">
        <v>180</v>
      </c>
      <c r="F96">
        <v>54</v>
      </c>
      <c r="G96" t="s">
        <v>21</v>
      </c>
      <c r="H96" t="s">
        <v>51</v>
      </c>
      <c r="I96">
        <v>0</v>
      </c>
      <c r="J96" t="s">
        <v>38</v>
      </c>
      <c r="K96" t="s">
        <v>36</v>
      </c>
      <c r="L96" t="s">
        <v>95</v>
      </c>
      <c r="M96" t="s">
        <v>110</v>
      </c>
      <c r="N96" s="1">
        <v>43745</v>
      </c>
      <c r="O96" t="s">
        <v>229</v>
      </c>
      <c r="P96" t="s">
        <v>24</v>
      </c>
      <c r="Q96" t="s">
        <v>52</v>
      </c>
      <c r="R96" t="s">
        <v>28</v>
      </c>
      <c r="S96" t="s">
        <v>29</v>
      </c>
      <c r="T96" t="s">
        <v>36</v>
      </c>
      <c r="U96">
        <v>21</v>
      </c>
      <c r="V96">
        <v>17</v>
      </c>
      <c r="W96" t="s">
        <v>79</v>
      </c>
    </row>
    <row r="97" spans="1:23" x14ac:dyDescent="0.25">
      <c r="A97">
        <v>96</v>
      </c>
      <c r="B97" t="s">
        <v>49</v>
      </c>
      <c r="C97" t="s">
        <v>50</v>
      </c>
      <c r="D97" s="1">
        <v>20646</v>
      </c>
      <c r="E97">
        <v>180</v>
      </c>
      <c r="F97">
        <v>84</v>
      </c>
      <c r="G97" t="s">
        <v>21</v>
      </c>
      <c r="H97" t="s">
        <v>51</v>
      </c>
      <c r="I97">
        <v>30</v>
      </c>
      <c r="J97" t="s">
        <v>38</v>
      </c>
      <c r="K97" t="s">
        <v>36</v>
      </c>
      <c r="L97" t="s">
        <v>112</v>
      </c>
      <c r="M97" t="s">
        <v>110</v>
      </c>
      <c r="N97" s="1">
        <v>43746</v>
      </c>
      <c r="O97" s="1">
        <v>43807</v>
      </c>
      <c r="P97" t="s">
        <v>23</v>
      </c>
      <c r="Q97" t="s">
        <v>52</v>
      </c>
      <c r="R97" t="s">
        <v>28</v>
      </c>
      <c r="S97" t="s">
        <v>29</v>
      </c>
      <c r="T97" t="s">
        <v>36</v>
      </c>
      <c r="U97">
        <v>64</v>
      </c>
      <c r="V97">
        <v>26</v>
      </c>
      <c r="W97" t="s">
        <v>60</v>
      </c>
    </row>
    <row r="98" spans="1:23" x14ac:dyDescent="0.25">
      <c r="A98">
        <v>97</v>
      </c>
      <c r="B98" t="s">
        <v>49</v>
      </c>
      <c r="C98" t="s">
        <v>50</v>
      </c>
      <c r="D98" s="1">
        <v>20646</v>
      </c>
      <c r="E98">
        <v>180</v>
      </c>
      <c r="F98">
        <v>84</v>
      </c>
      <c r="G98" t="s">
        <v>21</v>
      </c>
      <c r="H98" t="s">
        <v>51</v>
      </c>
      <c r="I98">
        <v>0</v>
      </c>
      <c r="J98" t="s">
        <v>38</v>
      </c>
      <c r="K98" t="s">
        <v>36</v>
      </c>
      <c r="L98" t="s">
        <v>230</v>
      </c>
      <c r="M98" t="s">
        <v>231</v>
      </c>
      <c r="N98" s="1">
        <v>43777</v>
      </c>
      <c r="O98" t="s">
        <v>232</v>
      </c>
      <c r="P98" t="s">
        <v>25</v>
      </c>
      <c r="Q98" t="s">
        <v>66</v>
      </c>
      <c r="R98" t="s">
        <v>26</v>
      </c>
      <c r="S98" t="s">
        <v>32</v>
      </c>
      <c r="T98" t="s">
        <v>39</v>
      </c>
      <c r="U98">
        <v>64</v>
      </c>
      <c r="V98">
        <v>26</v>
      </c>
      <c r="W98" t="s">
        <v>60</v>
      </c>
    </row>
    <row r="99" spans="1:23" x14ac:dyDescent="0.25">
      <c r="A99">
        <v>98</v>
      </c>
      <c r="B99" t="s">
        <v>65</v>
      </c>
      <c r="C99" t="s">
        <v>50</v>
      </c>
      <c r="D99" s="1">
        <v>35986</v>
      </c>
      <c r="E99">
        <v>165</v>
      </c>
      <c r="F99">
        <v>96</v>
      </c>
      <c r="G99" t="s">
        <v>21</v>
      </c>
      <c r="H99" t="s">
        <v>51</v>
      </c>
      <c r="I99">
        <v>30</v>
      </c>
      <c r="J99" t="s">
        <v>36</v>
      </c>
      <c r="K99" t="s">
        <v>36</v>
      </c>
      <c r="L99" t="s">
        <v>233</v>
      </c>
      <c r="M99" t="s">
        <v>234</v>
      </c>
      <c r="N99" t="s">
        <v>235</v>
      </c>
      <c r="O99" t="s">
        <v>236</v>
      </c>
      <c r="P99" t="s">
        <v>23</v>
      </c>
      <c r="Q99" t="s">
        <v>52</v>
      </c>
      <c r="R99" t="s">
        <v>28</v>
      </c>
      <c r="S99" t="s">
        <v>29</v>
      </c>
      <c r="T99" t="s">
        <v>36</v>
      </c>
      <c r="U99">
        <v>22</v>
      </c>
      <c r="V99">
        <v>35</v>
      </c>
      <c r="W99" t="s">
        <v>74</v>
      </c>
    </row>
    <row r="100" spans="1:23" x14ac:dyDescent="0.25">
      <c r="A100">
        <v>99</v>
      </c>
      <c r="B100" t="s">
        <v>65</v>
      </c>
      <c r="C100" t="s">
        <v>57</v>
      </c>
      <c r="D100" s="1">
        <v>35986</v>
      </c>
      <c r="E100">
        <v>165</v>
      </c>
      <c r="F100">
        <v>61</v>
      </c>
      <c r="H100" t="s">
        <v>51</v>
      </c>
      <c r="I100">
        <v>34</v>
      </c>
      <c r="J100" t="s">
        <v>38</v>
      </c>
      <c r="K100" t="s">
        <v>36</v>
      </c>
      <c r="L100" t="s">
        <v>146</v>
      </c>
      <c r="M100" t="s">
        <v>237</v>
      </c>
      <c r="N100" t="s">
        <v>238</v>
      </c>
      <c r="O100" t="s">
        <v>127</v>
      </c>
      <c r="P100" t="s">
        <v>25</v>
      </c>
      <c r="Q100" t="s">
        <v>66</v>
      </c>
      <c r="R100" t="s">
        <v>26</v>
      </c>
      <c r="S100" t="s">
        <v>34</v>
      </c>
      <c r="T100" t="s">
        <v>36</v>
      </c>
      <c r="U100">
        <v>22</v>
      </c>
      <c r="V100">
        <v>22</v>
      </c>
      <c r="W100" t="s">
        <v>48</v>
      </c>
    </row>
    <row r="101" spans="1:23" x14ac:dyDescent="0.25">
      <c r="A101">
        <v>100</v>
      </c>
      <c r="B101" t="s">
        <v>65</v>
      </c>
      <c r="C101" t="s">
        <v>57</v>
      </c>
      <c r="D101" s="1">
        <v>34160</v>
      </c>
      <c r="E101">
        <v>117</v>
      </c>
      <c r="F101">
        <v>116</v>
      </c>
      <c r="H101" t="s">
        <v>20</v>
      </c>
      <c r="I101">
        <v>50</v>
      </c>
      <c r="J101" t="s">
        <v>38</v>
      </c>
      <c r="K101" t="s">
        <v>36</v>
      </c>
      <c r="L101" t="s">
        <v>124</v>
      </c>
      <c r="M101" t="s">
        <v>204</v>
      </c>
      <c r="N101" t="s">
        <v>239</v>
      </c>
      <c r="O101" t="s">
        <v>240</v>
      </c>
      <c r="P101" t="s">
        <v>24</v>
      </c>
      <c r="Q101" t="s">
        <v>52</v>
      </c>
      <c r="R101" t="s">
        <v>28</v>
      </c>
      <c r="S101" t="s">
        <v>34</v>
      </c>
      <c r="T101" t="s">
        <v>39</v>
      </c>
      <c r="U101">
        <v>27</v>
      </c>
      <c r="V101">
        <v>85</v>
      </c>
      <c r="W101" t="s">
        <v>122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I18" sqref="I18"/>
    </sheetView>
  </sheetViews>
  <sheetFormatPr baseColWidth="10" defaultRowHeight="15" x14ac:dyDescent="0.25"/>
  <cols>
    <col min="1" max="1" width="23" customWidth="1"/>
    <col min="2" max="2" width="11.7109375" customWidth="1"/>
    <col min="3" max="3" width="14.85546875" customWidth="1"/>
    <col min="5" max="5" width="21.140625" customWidth="1"/>
    <col min="6" max="6" width="18.28515625" customWidth="1"/>
    <col min="7" max="7" width="29.8554687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36"/>
  <sheetViews>
    <sheetView workbookViewId="0">
      <selection activeCell="F9" sqref="F9"/>
    </sheetView>
  </sheetViews>
  <sheetFormatPr baseColWidth="10" defaultRowHeight="15" x14ac:dyDescent="0.25"/>
  <sheetData>
    <row r="1" spans="1:7" x14ac:dyDescent="0.25">
      <c r="A1" t="s">
        <v>242</v>
      </c>
      <c r="B1" t="s">
        <v>79</v>
      </c>
      <c r="C1" t="s">
        <v>48</v>
      </c>
      <c r="D1" t="s">
        <v>60</v>
      </c>
      <c r="E1" t="s">
        <v>74</v>
      </c>
      <c r="F1" t="s">
        <v>99</v>
      </c>
      <c r="G1" t="s">
        <v>122</v>
      </c>
    </row>
    <row r="2" spans="1:7" x14ac:dyDescent="0.25">
      <c r="A2">
        <f>COUNTIF(Tableau1[Nature],"anorexie")</f>
        <v>5</v>
      </c>
      <c r="B2">
        <f>COUNTIF(Tableau1[Nature],"Maigreur")</f>
        <v>13</v>
      </c>
      <c r="C2">
        <f>COUNTIF(Tableau1[Nature],"Poids normal")</f>
        <v>27</v>
      </c>
      <c r="D2">
        <f>COUNTIF(Tableau1[Nature],"Surpoids")</f>
        <v>33</v>
      </c>
      <c r="E2">
        <f>COUNTIF(Tableau1[Nature],"Obésité modérée")</f>
        <v>15</v>
      </c>
      <c r="F2">
        <f>COUNTIF(Tableau1[Nature],"Obésité sévère")</f>
        <v>4</v>
      </c>
      <c r="G2">
        <f>COUNTIF(Tableau1[Nature],"Obésité morbide ou massive")</f>
        <v>3</v>
      </c>
    </row>
    <row r="5" spans="1:7" x14ac:dyDescent="0.25">
      <c r="A5" t="s">
        <v>44</v>
      </c>
      <c r="B5">
        <f>COUNTIF(Tableau1[Medic],A5)</f>
        <v>2</v>
      </c>
    </row>
    <row r="6" spans="1:7" x14ac:dyDescent="0.25">
      <c r="A6" t="s">
        <v>53</v>
      </c>
      <c r="B6">
        <f>COUNTIF(Tableau1[Medic],A6)</f>
        <v>5</v>
      </c>
    </row>
    <row r="7" spans="1:7" x14ac:dyDescent="0.25">
      <c r="A7" t="s">
        <v>58</v>
      </c>
      <c r="B7">
        <f>COUNTIF(Tableau1[Medic],A7)</f>
        <v>14</v>
      </c>
    </row>
    <row r="8" spans="1:7" x14ac:dyDescent="0.25">
      <c r="A8" t="s">
        <v>61</v>
      </c>
      <c r="B8">
        <f>COUNTIF(Tableau1[Medic],A8)</f>
        <v>4</v>
      </c>
    </row>
    <row r="9" spans="1:7" x14ac:dyDescent="0.25">
      <c r="A9" t="s">
        <v>68</v>
      </c>
      <c r="B9">
        <f>COUNTIF(Tableau1[Medic],A9)</f>
        <v>3</v>
      </c>
    </row>
    <row r="10" spans="1:7" x14ac:dyDescent="0.25">
      <c r="A10" t="s">
        <v>71</v>
      </c>
      <c r="B10">
        <f>COUNTIF(Tableau1[Medic],A10)</f>
        <v>1</v>
      </c>
    </row>
    <row r="11" spans="1:7" x14ac:dyDescent="0.25">
      <c r="A11" t="s">
        <v>76</v>
      </c>
      <c r="B11">
        <f>COUNTIF(Tableau1[Medic],A11)</f>
        <v>1</v>
      </c>
    </row>
    <row r="12" spans="1:7" x14ac:dyDescent="0.25">
      <c r="A12" t="s">
        <v>81</v>
      </c>
      <c r="B12">
        <f>COUNTIF(Tableau1[Medic],A12)</f>
        <v>5</v>
      </c>
    </row>
    <row r="13" spans="1:7" x14ac:dyDescent="0.25">
      <c r="A13" t="s">
        <v>44</v>
      </c>
      <c r="B13">
        <f>COUNTIF(Tableau1[Medic],A13)</f>
        <v>2</v>
      </c>
    </row>
    <row r="14" spans="1:7" x14ac:dyDescent="0.25">
      <c r="A14" t="s">
        <v>86</v>
      </c>
      <c r="B14">
        <f>COUNTIF(Tableau1[Medic],A14)</f>
        <v>4</v>
      </c>
    </row>
    <row r="15" spans="1:7" x14ac:dyDescent="0.25">
      <c r="A15" t="s">
        <v>90</v>
      </c>
      <c r="B15">
        <f>COUNTIF(Tableau1[Medic],A15)</f>
        <v>1</v>
      </c>
    </row>
    <row r="16" spans="1:7" x14ac:dyDescent="0.25">
      <c r="A16" t="s">
        <v>92</v>
      </c>
      <c r="B16">
        <f>COUNTIF(Tableau1[Medic],A16)</f>
        <v>4</v>
      </c>
    </row>
    <row r="17" spans="1:2" x14ac:dyDescent="0.25">
      <c r="A17" t="s">
        <v>95</v>
      </c>
      <c r="B17">
        <f>COUNTIF(Tableau1[Medic],A17)</f>
        <v>3</v>
      </c>
    </row>
    <row r="18" spans="1:2" x14ac:dyDescent="0.25">
      <c r="A18" t="s">
        <v>97</v>
      </c>
      <c r="B18">
        <f>COUNTIF(Tableau1[Medic],A18)</f>
        <v>1</v>
      </c>
    </row>
    <row r="19" spans="1:2" x14ac:dyDescent="0.25">
      <c r="A19" t="s">
        <v>100</v>
      </c>
      <c r="B19">
        <f>COUNTIF(Tableau1[Medic],A19)</f>
        <v>1</v>
      </c>
    </row>
    <row r="20" spans="1:2" x14ac:dyDescent="0.25">
      <c r="A20" t="s">
        <v>102</v>
      </c>
      <c r="B20">
        <f>COUNTIF(Tableau1[Medic],A20)</f>
        <v>3</v>
      </c>
    </row>
    <row r="21" spans="1:2" x14ac:dyDescent="0.25">
      <c r="A21" t="s">
        <v>104</v>
      </c>
      <c r="B21">
        <f>COUNTIF(Tableau1[Medic],A21)</f>
        <v>2</v>
      </c>
    </row>
    <row r="22" spans="1:2" x14ac:dyDescent="0.25">
      <c r="A22" t="s">
        <v>106</v>
      </c>
      <c r="B22">
        <f>COUNTIF(Tableau1[Medic],A22)</f>
        <v>1</v>
      </c>
    </row>
    <row r="23" spans="1:2" x14ac:dyDescent="0.25">
      <c r="A23" t="s">
        <v>109</v>
      </c>
      <c r="B23">
        <f>COUNTIF(Tableau1[Medic],A23)</f>
        <v>1</v>
      </c>
    </row>
    <row r="24" spans="1:2" x14ac:dyDescent="0.25">
      <c r="A24" t="s">
        <v>112</v>
      </c>
      <c r="B24">
        <f>COUNTIF(Tableau1[Medic],A24)</f>
        <v>2</v>
      </c>
    </row>
    <row r="25" spans="1:2" x14ac:dyDescent="0.25">
      <c r="A25" t="s">
        <v>115</v>
      </c>
      <c r="B25">
        <f>COUNTIF(Tableau1[Medic],A25)</f>
        <v>3</v>
      </c>
    </row>
    <row r="26" spans="1:2" x14ac:dyDescent="0.25">
      <c r="A26" t="s">
        <v>120</v>
      </c>
      <c r="B26">
        <f>COUNTIF(Tableau1[Medic],A26)</f>
        <v>1</v>
      </c>
    </row>
    <row r="27" spans="1:2" x14ac:dyDescent="0.25">
      <c r="A27" t="s">
        <v>124</v>
      </c>
      <c r="B27">
        <f>COUNTIF(Tableau1[Medic],A27)</f>
        <v>11</v>
      </c>
    </row>
    <row r="28" spans="1:2" x14ac:dyDescent="0.25">
      <c r="A28" t="s">
        <v>58</v>
      </c>
      <c r="B28">
        <f>COUNTIF(Tableau1[Medic],A28)</f>
        <v>14</v>
      </c>
    </row>
    <row r="29" spans="1:2" x14ac:dyDescent="0.25">
      <c r="A29" t="s">
        <v>129</v>
      </c>
      <c r="B29">
        <f>COUNTIF(Tableau1[Medic],A29)</f>
        <v>1</v>
      </c>
    </row>
    <row r="30" spans="1:2" x14ac:dyDescent="0.25">
      <c r="A30" t="s">
        <v>138</v>
      </c>
      <c r="B30">
        <f>COUNTIF(Tableau1[Medic],A30)</f>
        <v>4</v>
      </c>
    </row>
    <row r="31" spans="1:2" x14ac:dyDescent="0.25">
      <c r="A31" t="s">
        <v>146</v>
      </c>
      <c r="B31">
        <f>COUNTIF(Tableau1[Medic],A31)</f>
        <v>2</v>
      </c>
    </row>
    <row r="32" spans="1:2" x14ac:dyDescent="0.25">
      <c r="A32" t="s">
        <v>149</v>
      </c>
      <c r="B32">
        <f>COUNTIF(Tableau1[Medic],A32)</f>
        <v>1</v>
      </c>
    </row>
    <row r="33" spans="1:2" x14ac:dyDescent="0.25">
      <c r="A33" t="s">
        <v>160</v>
      </c>
      <c r="B33">
        <f>COUNTIF(Tableau1[Medic],A33)</f>
        <v>3</v>
      </c>
    </row>
    <row r="34" spans="1:2" x14ac:dyDescent="0.25">
      <c r="A34" t="s">
        <v>164</v>
      </c>
      <c r="B34">
        <f>COUNTIF(Tableau1[Medic],A34)</f>
        <v>1</v>
      </c>
    </row>
    <row r="35" spans="1:2" x14ac:dyDescent="0.25">
      <c r="A35" t="s">
        <v>185</v>
      </c>
      <c r="B35">
        <f>COUNTIF(Tableau1[Medic],A35)</f>
        <v>1</v>
      </c>
    </row>
    <row r="36" spans="1:2" x14ac:dyDescent="0.25">
      <c r="A36" t="s">
        <v>199</v>
      </c>
      <c r="B36">
        <f>COUNTIF(Tableau1[Medic],A36)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E22" sqref="E2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H22" sqref="H2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6"/>
  <sheetViews>
    <sheetView workbookViewId="0">
      <selection activeCell="D6" sqref="D6"/>
    </sheetView>
  </sheetViews>
  <sheetFormatPr baseColWidth="10" defaultRowHeight="15" x14ac:dyDescent="0.25"/>
  <cols>
    <col min="1" max="1" width="16.28515625" customWidth="1"/>
    <col min="2" max="2" width="12.28515625" customWidth="1"/>
    <col min="3" max="3" width="15.85546875" customWidth="1"/>
    <col min="4" max="4" width="23" customWidth="1"/>
  </cols>
  <sheetData>
    <row r="1" spans="1:5" x14ac:dyDescent="0.25">
      <c r="A1" t="s">
        <v>20</v>
      </c>
      <c r="B1" t="s">
        <v>23</v>
      </c>
      <c r="C1" t="s">
        <v>30</v>
      </c>
      <c r="D1" t="s">
        <v>29</v>
      </c>
      <c r="E1" t="s">
        <v>36</v>
      </c>
    </row>
    <row r="2" spans="1:5" x14ac:dyDescent="0.25">
      <c r="A2" t="s">
        <v>21</v>
      </c>
      <c r="B2" t="s">
        <v>24</v>
      </c>
      <c r="C2" t="s">
        <v>26</v>
      </c>
      <c r="D2" t="s">
        <v>31</v>
      </c>
      <c r="E2" t="s">
        <v>37</v>
      </c>
    </row>
    <row r="3" spans="1:5" x14ac:dyDescent="0.25">
      <c r="A3" t="s">
        <v>22</v>
      </c>
      <c r="B3" t="s">
        <v>25</v>
      </c>
      <c r="C3" t="s">
        <v>27</v>
      </c>
      <c r="D3" t="s">
        <v>32</v>
      </c>
      <c r="E3" t="s">
        <v>38</v>
      </c>
    </row>
    <row r="4" spans="1:5" x14ac:dyDescent="0.25">
      <c r="C4" t="s">
        <v>28</v>
      </c>
      <c r="D4" t="s">
        <v>33</v>
      </c>
      <c r="E4" t="s">
        <v>39</v>
      </c>
    </row>
    <row r="5" spans="1:5" x14ac:dyDescent="0.25">
      <c r="D5" t="s">
        <v>34</v>
      </c>
    </row>
    <row r="6" spans="1:5" x14ac:dyDescent="0.25">
      <c r="D6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Menu</vt:lpstr>
      <vt:lpstr>Donnees</vt:lpstr>
      <vt:lpstr>Graphique1</vt:lpstr>
      <vt:lpstr>Feuil1</vt:lpstr>
      <vt:lpstr>Graphique2</vt:lpstr>
      <vt:lpstr>Graphique3</vt:lpstr>
      <vt:lpstr>combo</vt:lpstr>
      <vt:lpstr>Form_Patient</vt:lpstr>
      <vt:lpstr>Patient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YODA ISMAEL</dc:creator>
  <cp:lastModifiedBy>YODA ISMAEL</cp:lastModifiedBy>
  <cp:lastPrinted>2020-03-26T02:15:02Z</cp:lastPrinted>
  <dcterms:created xsi:type="dcterms:W3CDTF">2020-03-20T14:39:51Z</dcterms:created>
  <dcterms:modified xsi:type="dcterms:W3CDTF">2020-03-26T20:43:55Z</dcterms:modified>
</cp:coreProperties>
</file>